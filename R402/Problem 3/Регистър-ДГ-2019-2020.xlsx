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Pivot Table_Лист1_1" sheetId="2" state="visible" r:id="rId4"/>
  </sheets>
  <definedNames>
    <definedName function="false" hidden="true" localSheetId="0" name="_xlnm._FilterDatabase" vbProcedure="false">Лист1!$A$1:$BJ$195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<sst xmlns="http://schemas.openxmlformats.org/spreadsheetml/2006/main" count="3359" uniqueCount="2518">
  <si>
    <t xml:space="preserve">Регистрационен номер на вписване №/г.</t>
  </si>
  <si>
    <t xml:space="preserve">Наименование на градината</t>
  </si>
  <si>
    <t xml:space="preserve">Община:</t>
  </si>
  <si>
    <t xml:space="preserve">Град/село:</t>
  </si>
  <si>
    <t xml:space="preserve">Район:</t>
  </si>
  <si>
    <t xml:space="preserve">Адрес на управление:</t>
  </si>
  <si>
    <t xml:space="preserve">Булстат:</t>
  </si>
  <si>
    <t xml:space="preserve">Телефон:</t>
  </si>
  <si>
    <t xml:space="preserve">E-mail:</t>
  </si>
  <si>
    <t xml:space="preserve">Интернет страница:</t>
  </si>
  <si>
    <r>
      <rPr>
        <b val="true"/>
        <sz val="12"/>
        <rFont val="Calibri"/>
        <family val="2"/>
        <charset val="204"/>
      </rPr>
      <t xml:space="preserve">Директор </t>
    </r>
    <r>
      <rPr>
        <b val="true"/>
        <i val="true"/>
        <sz val="12"/>
        <color theme="0" tint="-0.25"/>
        <rFont val="Calibri"/>
        <family val="2"/>
        <charset val="204"/>
      </rPr>
      <t xml:space="preserve">(име, презиме, фамилия)</t>
    </r>
    <r>
      <rPr>
        <b val="true"/>
        <sz val="12"/>
        <color theme="1"/>
        <rFont val="Calibri"/>
        <family val="2"/>
        <charset val="204"/>
      </rPr>
      <t xml:space="preserve">:</t>
    </r>
  </si>
  <si>
    <r>
      <rPr>
        <b val="true"/>
        <sz val="12"/>
        <rFont val="Calibri"/>
        <family val="2"/>
        <charset val="204"/>
      </rPr>
      <t xml:space="preserve">Акт за общинска собственост </t>
    </r>
    <r>
      <rPr>
        <b val="true"/>
        <i val="true"/>
        <sz val="12"/>
        <color theme="0" tint="-0.35"/>
        <rFont val="Calibri"/>
        <family val="2"/>
        <charset val="204"/>
      </rPr>
      <t xml:space="preserve">(номер и дата)</t>
    </r>
    <r>
      <rPr>
        <b val="true"/>
        <sz val="12"/>
        <color theme="1"/>
        <rFont val="Calibri"/>
        <family val="2"/>
        <charset val="204"/>
      </rPr>
      <t xml:space="preserve">:</t>
    </r>
  </si>
  <si>
    <t xml:space="preserve">Брой сгради (в т.ч. филиали):</t>
  </si>
  <si>
    <t xml:space="preserve">Адрес и телефон на сграда/филиал 1: </t>
  </si>
  <si>
    <t xml:space="preserve">Адрес и телефон на сграда/филиал 2: </t>
  </si>
  <si>
    <t xml:space="preserve">Адрес и телефон на сграда/филиал 3: </t>
  </si>
  <si>
    <t xml:space="preserve">Адрес и телефон на сграда/филиал 4: </t>
  </si>
  <si>
    <t xml:space="preserve">Адрес и телефон на сграда/филиал 5: </t>
  </si>
  <si>
    <t xml:space="preserve">Адрес и телефон на сграда/филиал 6: </t>
  </si>
  <si>
    <t xml:space="preserve">Адрес и телефон на сграда/филиал 7: </t>
  </si>
  <si>
    <t xml:space="preserve">– рампи: </t>
  </si>
  <si>
    <t xml:space="preserve">– подвижни платформи: </t>
  </si>
  <si>
    <t xml:space="preserve">– асансьори: </t>
  </si>
  <si>
    <t xml:space="preserve">– адаптирани санитарни възли: </t>
  </si>
  <si>
    <t xml:space="preserve">Яслена група</t>
  </si>
  <si>
    <t xml:space="preserve">   Брой деца</t>
  </si>
  <si>
    <t xml:space="preserve">Първа група</t>
  </si>
  <si>
    <t xml:space="preserve">Втора група</t>
  </si>
  <si>
    <t xml:space="preserve">Подготвителна група - 5 г.</t>
  </si>
  <si>
    <t xml:space="preserve">Подготвителна група - 6 г.</t>
  </si>
  <si>
    <t xml:space="preserve">Разновъзрастова</t>
  </si>
  <si>
    <t xml:space="preserve">Общ брой групи: </t>
  </si>
  <si>
    <t xml:space="preserve">Общ брой деца:</t>
  </si>
  <si>
    <t xml:space="preserve">Държавна субсидия:</t>
  </si>
  <si>
    <t xml:space="preserve">Общинска субсидия:</t>
  </si>
  <si>
    <t xml:space="preserve">Сключени договори за проекти и програми, международни фондове и програми:</t>
  </si>
  <si>
    <t xml:space="preserve">Дарения:</t>
  </si>
  <si>
    <t xml:space="preserve">Собствени приходи, в т.ч. ДОД:</t>
  </si>
  <si>
    <t xml:space="preserve">Други приходи за 2019 г.:</t>
  </si>
  <si>
    <t xml:space="preserve">Регионални (РП):</t>
  </si>
  <si>
    <t xml:space="preserve">РП:</t>
  </si>
  <si>
    <t xml:space="preserve">Национални (НП):</t>
  </si>
  <si>
    <t xml:space="preserve">НП</t>
  </si>
  <si>
    <t xml:space="preserve">Международни (МП):</t>
  </si>
  <si>
    <t xml:space="preserve">МП</t>
  </si>
  <si>
    <t xml:space="preserve">Педагогически персонал: </t>
  </si>
  <si>
    <t xml:space="preserve">Непедагогически персонал: </t>
  </si>
  <si>
    <t xml:space="preserve">Общ брой (щатни бройки):</t>
  </si>
  <si>
    <t xml:space="preserve">Участие на персонала в квалификационна форма 1</t>
  </si>
  <si>
    <t xml:space="preserve">Брой в кв форма 1</t>
  </si>
  <si>
    <t xml:space="preserve">Участие на персонала в квалификационна форма 2</t>
  </si>
  <si>
    <t xml:space="preserve">Брой в кв форма 2</t>
  </si>
  <si>
    <t xml:space="preserve">Участие на персонала в квалификационна форма 3</t>
  </si>
  <si>
    <t xml:space="preserve">Брой в кв форма 3</t>
  </si>
  <si>
    <t xml:space="preserve">СМБЗ на педагогически персонал:</t>
  </si>
  <si>
    <t xml:space="preserve">СМБЗ на непедагогически персонал:</t>
  </si>
  <si>
    <t xml:space="preserve">Дата: </t>
  </si>
  <si>
    <t xml:space="preserve">СОА19-ВК08-14491-[180]/18.11.2019</t>
  </si>
  <si>
    <t xml:space="preserve">ДЕТСКА ГРАДИНА № 1</t>
  </si>
  <si>
    <t xml:space="preserve">Столична</t>
  </si>
  <si>
    <t xml:space="preserve">гр. София</t>
  </si>
  <si>
    <t xml:space="preserve">"Възраждане"</t>
  </si>
  <si>
    <t xml:space="preserve">ул. "Брегалница" № 48</t>
  </si>
  <si>
    <t xml:space="preserve">000673598</t>
  </si>
  <si>
    <t xml:space="preserve">02/8317017</t>
  </si>
  <si>
    <t xml:space="preserve">odz_1@abv.bg</t>
  </si>
  <si>
    <t xml:space="preserve">detskagradina-1.com</t>
  </si>
  <si>
    <t xml:space="preserve">Христина Георгиева Петрова</t>
  </si>
  <si>
    <t xml:space="preserve">№ 373/18.03.1999 г.</t>
  </si>
  <si>
    <t xml:space="preserve">Трудови правоотношения в детските градини.Съдуржание форма и склячване на трудови договори.Прекратяванен на трудови договори, обещетения.</t>
  </si>
  <si>
    <t xml:space="preserve">"Безопастност на движение по пътищата. Методика на обучение"</t>
  </si>
  <si>
    <t xml:space="preserve">18.11.2019 г.</t>
  </si>
  <si>
    <t xml:space="preserve">СОА19-ВК08-14491-[200]/22.11.2019</t>
  </si>
  <si>
    <t xml:space="preserve">ДЕТСКА ГРАДИНА № 2 "ЗВЪНЧЕ"</t>
  </si>
  <si>
    <t xml:space="preserve">"Триадица"</t>
  </si>
  <si>
    <t xml:space="preserve">ул. "Златишки проход" № 57</t>
  </si>
  <si>
    <t xml:space="preserve">000675492</t>
  </si>
  <si>
    <t xml:space="preserve">02/9581271, 02/9586681, 02/8580019</t>
  </si>
  <si>
    <t xml:space="preserve">zvunche@abv.bg</t>
  </si>
  <si>
    <t xml:space="preserve">www.dg2zvunche-sofia.com</t>
  </si>
  <si>
    <t xml:space="preserve">Цеца Георгиева Стоянова</t>
  </si>
  <si>
    <t xml:space="preserve">765/17.11.2000</t>
  </si>
  <si>
    <t xml:space="preserve">ул. "Златишки проход" № 57, 
тел. 02/9581271, 02/8580019, 02/9586681</t>
  </si>
  <si>
    <t xml:space="preserve">50 години с любов към децата</t>
  </si>
  <si>
    <t xml:space="preserve">BG05:2OP001-3.005-0004 "Активно приобщаване в системата на предучилищното образование"</t>
  </si>
  <si>
    <t xml:space="preserve">Bett 2019-THE FUTURE IS HERE-1;Водене на ел.дневник в ДГ (20); Действия при БАК. Първа долекарска помощ (24); Иновативни педагогически стратегии за формиране на ключови компетентности в предучилищна възраст в контекста на новите ДОС и в условията на интерактивна учебна среда (2)</t>
  </si>
  <si>
    <t xml:space="preserve">Представяне на новите познавателни книжки "Приятели" и "Малки приказни пътечки" (12); Трудови правоотношения в ДГ. Съдържание,форма и сключване на ТД. Прекратяване на ТД, обезщетения (2); Пътна безопасност за намаляване на детския травматизъм (22)</t>
  </si>
  <si>
    <t xml:space="preserve">Ранни предиктори за обучителни трудности, характерни за предучилищна възраст (1); Дни на индивидуалната психология (1); Прилагане на скрининг-тест за деца 3 - 3,6 г. по проект "Активно приобщаване в системата на ПО" (1); Вътрешноинституциална квалификация(5 х 18 бр.)</t>
  </si>
  <si>
    <t xml:space="preserve">СОА19-ВК08-14491-[65]/12.11.2019</t>
  </si>
  <si>
    <t xml:space="preserve">ДЕТСКА ГРАДИНА № 3 "ДЕТЕЛИНА"</t>
  </si>
  <si>
    <t xml:space="preserve">с. Казичене</t>
  </si>
  <si>
    <t xml:space="preserve">"Панчарево"</t>
  </si>
  <si>
    <t xml:space="preserve">ул. "Христо Ботев" № 2</t>
  </si>
  <si>
    <t xml:space="preserve">000666027</t>
  </si>
  <si>
    <t xml:space="preserve">029995013</t>
  </si>
  <si>
    <t xml:space="preserve">cdg_3@abv.bg</t>
  </si>
  <si>
    <t xml:space="preserve">dg3sofia.com</t>
  </si>
  <si>
    <t xml:space="preserve">Димитринка Илиева Йорданова</t>
  </si>
  <si>
    <t xml:space="preserve">Удостоверение №864/05.08.2009 г., разрешение за ползване №ДК-07-С-268 / 09.12.2011 г.</t>
  </si>
  <si>
    <t xml:space="preserve"> Филиал "Експериментална сграда" - с. Казичене, ул. "Хан Крум" № 2, телефон: 029997471</t>
  </si>
  <si>
    <t xml:space="preserve">Вътрешна институционална и продължаваща квалификация</t>
  </si>
  <si>
    <t xml:space="preserve">12.11.2019 г.</t>
  </si>
  <si>
    <t xml:space="preserve">СОА19-ВК08-14491-[52]/12.11.2019</t>
  </si>
  <si>
    <t xml:space="preserve">ДЕТСКА ГРАДИНА № 4 "СЛЪНЧО"</t>
  </si>
  <si>
    <t xml:space="preserve">с. Владая</t>
  </si>
  <si>
    <t xml:space="preserve">"Витоша"</t>
  </si>
  <si>
    <t xml:space="preserve">ул. "Ела" № 6</t>
  </si>
  <si>
    <t xml:space="preserve">121571761</t>
  </si>
  <si>
    <t xml:space="preserve">02/9991032</t>
  </si>
  <si>
    <t xml:space="preserve">sluncho4@abv.bg</t>
  </si>
  <si>
    <t xml:space="preserve">http:dg-4.com</t>
  </si>
  <si>
    <t xml:space="preserve">Румяна  Петрова Капланова</t>
  </si>
  <si>
    <t xml:space="preserve">№ 2921 / 14.11.2014 г.</t>
  </si>
  <si>
    <t xml:space="preserve">с. Владая, ул. "Ела" № 6; тел. 02/999 10 32</t>
  </si>
  <si>
    <t xml:space="preserve">Продължаваща</t>
  </si>
  <si>
    <t xml:space="preserve">Вътрешноинституционална</t>
  </si>
  <si>
    <t xml:space="preserve">СОА19-ВК08-14491-[184]/18.11.2019</t>
  </si>
  <si>
    <t xml:space="preserve">ДЕТСКА ГРАДИНА № 5 "НАДЕЖДА"</t>
  </si>
  <si>
    <t xml:space="preserve">"Връбница"</t>
  </si>
  <si>
    <t xml:space="preserve">кв. "Връбница-1", бл. 510 А,Б </t>
  </si>
  <si>
    <t xml:space="preserve">000666034</t>
  </si>
  <si>
    <t xml:space="preserve">0884801713, 02/934 66 10</t>
  </si>
  <si>
    <t xml:space="preserve">cdg5n@abv.bg</t>
  </si>
  <si>
    <t xml:space="preserve">5dg.eu</t>
  </si>
  <si>
    <t xml:space="preserve">Августина Георгиева Русева</t>
  </si>
  <si>
    <t xml:space="preserve">№ 139 от 07.02.1997 г.; 
№ 78 от 27.01.1997 г.; 
№ 48 от 16.01.1997 г.; 
№ 87 от 28.01.1997 г.; 
№ 76 от 27.01.1997 г.; 
№ 679 от 13.03.1997 г.; 
№ 687 от 14.03.1997 г.; 
№ 2348 от 21.07.2008 г. </t>
  </si>
  <si>
    <t xml:space="preserve">Връбница 1, бл. 510, вх. Б и В, тел.: 02/934 66 10</t>
  </si>
  <si>
    <t xml:space="preserve">Връбница 2, бл. 621, вх. А, тел.: 02/934 66 10</t>
  </si>
  <si>
    <t xml:space="preserve">Обеля 1, бл. 102, вх. А и Г, тел.: 02/934 66 10</t>
  </si>
  <si>
    <t xml:space="preserve">Обеля 2, бл. 204, вх. Б, тел.: 02/934 66 10</t>
  </si>
  <si>
    <t xml:space="preserve">Обеля 2, бл. 207, вх. В, тел.: 02/934 66 10</t>
  </si>
  <si>
    <t xml:space="preserve">Обеля 2, бл. 214, вх. Г, тел.: 02/934 66 10</t>
  </si>
  <si>
    <t xml:space="preserve">Обеля 2, бл. 221, вх. Г, тел.: 02/934 66 10</t>
  </si>
  <si>
    <t xml:space="preserve">Приобщаващо образование</t>
  </si>
  <si>
    <t xml:space="preserve">Трудови правоотношения в детските градини</t>
  </si>
  <si>
    <t xml:space="preserve">СОА19-ВК08-14491-[141]/15.11.2019</t>
  </si>
  <si>
    <t xml:space="preserve">ДЕТСКА ГРАДИНА № 6 "ВЪЛШЕБЕН СВЯТ"</t>
  </si>
  <si>
    <t xml:space="preserve">"Надежда"</t>
  </si>
  <si>
    <t xml:space="preserve">ж.к. "Лев Толстой", ул. "Генерал Жостов" № 1</t>
  </si>
  <si>
    <t xml:space="preserve">000673630</t>
  </si>
  <si>
    <t xml:space="preserve">02/938 70 08</t>
  </si>
  <si>
    <t xml:space="preserve">odz6sofia@abv.bg</t>
  </si>
  <si>
    <t xml:space="preserve">dg-valshebensvyiat.com</t>
  </si>
  <si>
    <t xml:space="preserve">Гергана Алексиева Василева</t>
  </si>
  <si>
    <t xml:space="preserve">2840/29.06.2016 г.</t>
  </si>
  <si>
    <t xml:space="preserve">ж.к. "Лев Толстой", бл. 65, ет. 1</t>
  </si>
  <si>
    <t xml:space="preserve">Въвеждаща</t>
  </si>
  <si>
    <t xml:space="preserve">19.11.2019 г.</t>
  </si>
  <si>
    <t xml:space="preserve">СОА19-ВК08-14491-[98]/13.11.2019</t>
  </si>
  <si>
    <t xml:space="preserve">ДЕТСКА ГРАДИНА № 7 "ДЕТЕЛИНА"</t>
  </si>
  <si>
    <t xml:space="preserve">София</t>
  </si>
  <si>
    <t xml:space="preserve">ул. "Деян Белишки" № 44</t>
  </si>
  <si>
    <t xml:space="preserve">000673299</t>
  </si>
  <si>
    <t xml:space="preserve">02/8589108</t>
  </si>
  <si>
    <t xml:space="preserve">odz.detelina@gmail.com</t>
  </si>
  <si>
    <t xml:space="preserve">dgdetelina.com</t>
  </si>
  <si>
    <t xml:space="preserve">Ксения Стоянова Семизорова</t>
  </si>
  <si>
    <t xml:space="preserve">№ 462/30.09.1998 г.</t>
  </si>
  <si>
    <t xml:space="preserve">1. "Заедно можем повече"; 2. "Квалификация на педагогическите специалист"</t>
  </si>
  <si>
    <t xml:space="preserve">"Квалификация на педагогическите специалисти"</t>
  </si>
  <si>
    <t xml:space="preserve">СОА19-ВК08-14491-[73]/13.11.2019</t>
  </si>
  <si>
    <t xml:space="preserve">ДЕТСКА ГРАДИНА № 8 "ПРОФ. Д-Р ЕЛКА ПЕТРОВА"</t>
  </si>
  <si>
    <t xml:space="preserve">"Красно село"</t>
  </si>
  <si>
    <t xml:space="preserve">ул. "Ген. Стефан Тошев" № 34</t>
  </si>
  <si>
    <t xml:space="preserve">000673304</t>
  </si>
  <si>
    <t xml:space="preserve">0884801421</t>
  </si>
  <si>
    <t xml:space="preserve">odz8tt@yahoo.com</t>
  </si>
  <si>
    <t xml:space="preserve">В момента се изготвя</t>
  </si>
  <si>
    <t xml:space="preserve">Величка Петрова Попова</t>
  </si>
  <si>
    <t xml:space="preserve">№8495, 20.05.1974г.</t>
  </si>
  <si>
    <t xml:space="preserve">Трудово-правни отношения </t>
  </si>
  <si>
    <t xml:space="preserve">Клинично изследване на детските психолози</t>
  </si>
  <si>
    <t xml:space="preserve">Училище по психопатология</t>
  </si>
  <si>
    <t xml:space="preserve">13.11.2019 г.</t>
  </si>
  <si>
    <t xml:space="preserve">СОА19-ВК08-14491-[5]/08.11.2019</t>
  </si>
  <si>
    <t xml:space="preserve">ДЕТСКА ГРАДИНА № 9 "ПЛАМЪЧЕ"</t>
  </si>
  <si>
    <t xml:space="preserve">"Овча купел"</t>
  </si>
  <si>
    <t xml:space="preserve">кв. Суходол, ул. "Овчо поле" № 16</t>
  </si>
  <si>
    <t xml:space="preserve">000674166</t>
  </si>
  <si>
    <t xml:space="preserve">02/9204313</t>
  </si>
  <si>
    <t xml:space="preserve">cdg9_plama4e@abv.bg</t>
  </si>
  <si>
    <t xml:space="preserve">www.cdg9.com</t>
  </si>
  <si>
    <t xml:space="preserve">Мариана Стоянова Бъчварова</t>
  </si>
  <si>
    <t xml:space="preserve">№ 167 том LXIV</t>
  </si>
  <si>
    <t xml:space="preserve">гр. София, кв. Суходол, ул. "Овчо поле" № 16</t>
  </si>
  <si>
    <t xml:space="preserve">Онлайн обучение, 9</t>
  </si>
  <si>
    <t xml:space="preserve">08.11.2019 г.</t>
  </si>
  <si>
    <t xml:space="preserve">СОА19-УЗ21-2034/26.11.2019</t>
  </si>
  <si>
    <t xml:space="preserve">ДЕТСКА ГРАДИНА № 10 "ЧЕБУРАШКА"</t>
  </si>
  <si>
    <t xml:space="preserve">"Студентски"</t>
  </si>
  <si>
    <t xml:space="preserve">ул. "Проф. арх. Станчо Белковски" № 16 </t>
  </si>
  <si>
    <t xml:space="preserve">000673897</t>
  </si>
  <si>
    <t xml:space="preserve">028719141; 028719067</t>
  </si>
  <si>
    <t xml:space="preserve">odz10@mail.bg</t>
  </si>
  <si>
    <t xml:space="preserve">odz10-cheburashka.eu</t>
  </si>
  <si>
    <t xml:space="preserve">Виолета Ценова Дряновска</t>
  </si>
  <si>
    <t xml:space="preserve">15.10.2014 г.</t>
  </si>
  <si>
    <t xml:space="preserve">MOV-ap580339-EPP-1-2916-1-BG-EPPKA3-IPI-SOK-IN</t>
  </si>
  <si>
    <t xml:space="preserve">Методика на обучението по БДП</t>
  </si>
  <si>
    <t xml:space="preserve">Роботика срещу насилието </t>
  </si>
  <si>
    <t xml:space="preserve">Просоциални зенности в ранна детска възраст</t>
  </si>
  <si>
    <t xml:space="preserve">26.11.2019 г.</t>
  </si>
  <si>
    <t xml:space="preserve">СОА19-ВК08-14491-[18]/11.11.2019</t>
  </si>
  <si>
    <t xml:space="preserve">ДЕТСКА ГРАДИНА № 11 "МИКИ МАУС"</t>
  </si>
  <si>
    <t xml:space="preserve">"Младост"</t>
  </si>
  <si>
    <t xml:space="preserve">ж.к. "Младост-1" (до бл. 18)</t>
  </si>
  <si>
    <t xml:space="preserve">000673655</t>
  </si>
  <si>
    <t xml:space="preserve">0884 801630; 02/874 2041</t>
  </si>
  <si>
    <t xml:space="preserve">rfilipova@mail.bg</t>
  </si>
  <si>
    <t xml:space="preserve">http://dg11-mikimaus.com/</t>
  </si>
  <si>
    <t xml:space="preserve">Розалия Маринова Филипова</t>
  </si>
  <si>
    <t xml:space="preserve">№30/17.09.1996 г.</t>
  </si>
  <si>
    <t xml:space="preserve">BG05M2ОP001-3.005-0004 „Активно приобщаване в системата на предучилищното образование“</t>
  </si>
  <si>
    <t xml:space="preserve">Изграждане на позитивна образователна среда в детската градина"</t>
  </si>
  <si>
    <t xml:space="preserve">Трудови правоотношения в ДГ, съдържание, форма и сключване на договори. Прекратяване на трудови договори, обезщетения</t>
  </si>
  <si>
    <t xml:space="preserve">Безопасност при работа по електрообзавеждане с напрежение до 1000V</t>
  </si>
  <si>
    <t xml:space="preserve">СОА19-ВК08-14491-[28]/11.11.2019</t>
  </si>
  <si>
    <t xml:space="preserve">ДЕТСКА ГРАДИНА № 12 "ЛИЛИЯ"</t>
  </si>
  <si>
    <t xml:space="preserve">ул. "Боян Дановски" № 3</t>
  </si>
  <si>
    <t xml:space="preserve">000673662</t>
  </si>
  <si>
    <t xml:space="preserve">02/8710158</t>
  </si>
  <si>
    <t xml:space="preserve">dg12_georgieva@abv.bg</t>
  </si>
  <si>
    <t xml:space="preserve">www.dglilia.bg</t>
  </si>
  <si>
    <t xml:space="preserve">Юлия Иванова Георгиева</t>
  </si>
  <si>
    <t xml:space="preserve">№1342 от 15.10.2014г.</t>
  </si>
  <si>
    <t xml:space="preserve">гр. София, кв. "Младост-1", ул. "Боян Дановски" № 3</t>
  </si>
  <si>
    <t xml:space="preserve">Програма за изпълнение на Общинска стратегияза развитие на ФВС - проект на тема "Пътешествие към красивото"</t>
  </si>
  <si>
    <t xml:space="preserve">Проект по национална програма "Успяваме заедно"</t>
  </si>
  <si>
    <t xml:space="preserve">Сътрудничество с родителите/семействата на децата като основа за пълноценно образование в ПВ</t>
  </si>
  <si>
    <t xml:space="preserve">Самооценяването в системата на образование. Форми и съдържание</t>
  </si>
  <si>
    <t xml:space="preserve">Училищна медиация за справяне със ситуацията на конфронтация, агресия и изключване. Създаване на среда на доверие и взаимопомощ.</t>
  </si>
  <si>
    <t xml:space="preserve">11.11.2019 г.</t>
  </si>
  <si>
    <t xml:space="preserve">СОА19-ВК08-14491-[78]/13.11.2019</t>
  </si>
  <si>
    <t xml:space="preserve">ДЕТСКА ГРАДИНА № 13 "КАЛИНКА"</t>
  </si>
  <si>
    <t xml:space="preserve">гр. София </t>
  </si>
  <si>
    <t xml:space="preserve">"Искър"</t>
  </si>
  <si>
    <t xml:space="preserve">ж.к. "Дружба-1", ул. "5036-та"</t>
  </si>
  <si>
    <t xml:space="preserve">000673672</t>
  </si>
  <si>
    <t xml:space="preserve">02/9791495</t>
  </si>
  <si>
    <t xml:space="preserve">dg_13@abv.bg</t>
  </si>
  <si>
    <t xml:space="preserve">www.kalinkabg.com</t>
  </si>
  <si>
    <t xml:space="preserve">Весела Асенова Стефанова</t>
  </si>
  <si>
    <t xml:space="preserve">2221/09.08.2018</t>
  </si>
  <si>
    <t xml:space="preserve">Използване на съвременни технически средства в образователният процес в ДГ</t>
  </si>
  <si>
    <t xml:space="preserve">СОА19-ВК08-14491-[76]/13.11.2019</t>
  </si>
  <si>
    <t xml:space="preserve">ДЕТСКА ГРАДИНА № 14 "КАРЛСОН"</t>
  </si>
  <si>
    <t xml:space="preserve">ж.к. "Младост" 2, ул. "Васил Карагьозов" 8</t>
  </si>
  <si>
    <t xml:space="preserve">000674337</t>
  </si>
  <si>
    <t xml:space="preserve">0899922377</t>
  </si>
  <si>
    <t xml:space="preserve">odz14@abv.bg</t>
  </si>
  <si>
    <t xml:space="preserve">https://dg-14.com/</t>
  </si>
  <si>
    <t xml:space="preserve">Десислава Григорова Лучкова- Йорданова</t>
  </si>
  <si>
    <t xml:space="preserve">№277/17.09.1996г.</t>
  </si>
  <si>
    <t xml:space="preserve">ж.к. "Младост" 2, ул. "Васил Карагьозов" № 8; 
тел. 0899922377</t>
  </si>
  <si>
    <t xml:space="preserve">ПМС № 129; ДФ „Земеделие</t>
  </si>
  <si>
    <t xml:space="preserve">Първа долекарска помощ </t>
  </si>
  <si>
    <t xml:space="preserve">Повишаване на административния капацитет при работа с деца</t>
  </si>
  <si>
    <t xml:space="preserve">Методи и техники за ефективно включване на родителите и семейството в системата на ПУО</t>
  </si>
  <si>
    <t xml:space="preserve">СОА19-ВК08-14491-[115]/14.11.2019</t>
  </si>
  <si>
    <t xml:space="preserve">ДЕТСКА ГРАДИНА № 15 "ЧУЧУЛИГА"</t>
  </si>
  <si>
    <t xml:space="preserve">ул. "Св. Николай Чудотворец" № 4</t>
  </si>
  <si>
    <t xml:space="preserve">000673687</t>
  </si>
  <si>
    <t xml:space="preserve">02 938 71 38</t>
  </si>
  <si>
    <t xml:space="preserve">odz15@abv.bg</t>
  </si>
  <si>
    <t xml:space="preserve">Равина Иванова Пешева</t>
  </si>
  <si>
    <t xml:space="preserve">1954/ 2012</t>
  </si>
  <si>
    <t xml:space="preserve">Вътрешно квалификационни форми</t>
  </si>
  <si>
    <t xml:space="preserve">Външно квалификационни форми</t>
  </si>
  <si>
    <t xml:space="preserve">14.11.2019 г.</t>
  </si>
  <si>
    <t xml:space="preserve">СОА19-ВК08-14491-[79]/13.11.2019</t>
  </si>
  <si>
    <t xml:space="preserve">ДЕТСКА ГРАДИНА № 16 "ПРИКАЗЕН СВЯТ"</t>
  </si>
  <si>
    <t xml:space="preserve">ул. "Атанас Манчев" № 1 </t>
  </si>
  <si>
    <t xml:space="preserve">000674344</t>
  </si>
  <si>
    <t xml:space="preserve">0884801653</t>
  </si>
  <si>
    <t xml:space="preserve">odz16@abv.bg</t>
  </si>
  <si>
    <t xml:space="preserve">odz16.com</t>
  </si>
  <si>
    <t xml:space="preserve">Николина Ангелова </t>
  </si>
  <si>
    <t xml:space="preserve">№ 1346/ 04.11.2014</t>
  </si>
  <si>
    <t xml:space="preserve">Студентски град, бл. 41А</t>
  </si>
  <si>
    <t xml:space="preserve">"Техники за овладяване и контрол на стреса"</t>
  </si>
  <si>
    <t xml:space="preserve">"Новаторски подход за повишаване на мотивацията за учене" </t>
  </si>
  <si>
    <t xml:space="preserve">"Трудово правни отношения в ДГ; съдържание форма и сключване на трудов договор"</t>
  </si>
  <si>
    <t xml:space="preserve">СОА19-ВК08-14491-[149]/15.11.2019</t>
  </si>
  <si>
    <t xml:space="preserve">ДЕТСКА ГРАДИНА № 17 "МЕЧО ПУХ"</t>
  </si>
  <si>
    <t xml:space="preserve">ж.к. "Младост-1", ул. Димитър Доспевски № 27</t>
  </si>
  <si>
    <t xml:space="preserve">131163701</t>
  </si>
  <si>
    <t xml:space="preserve">0884801632</t>
  </si>
  <si>
    <t xml:space="preserve">odz17@abv.bg</t>
  </si>
  <si>
    <t xml:space="preserve">www.dg17sofia.com</t>
  </si>
  <si>
    <t xml:space="preserve">Миглена Валериева Кръстева</t>
  </si>
  <si>
    <t xml:space="preserve">Акт № 16 за Общинска собственост от 17.09.1996 год.</t>
  </si>
  <si>
    <t xml:space="preserve">гр. София, ж.к. "Младост-1", ул. Димитър Доспевски № 27</t>
  </si>
  <si>
    <t xml:space="preserve">"Активно приобщаване в системата на предучилищното образование"</t>
  </si>
  <si>
    <t xml:space="preserve">Външна квалификация - 2 теми</t>
  </si>
  <si>
    <t xml:space="preserve">Вътрешно-квалификационна дейност - 10 теми</t>
  </si>
  <si>
    <t xml:space="preserve">Прилагане на скрининг тест при деца от 3 години до 3 години и 6 месеца</t>
  </si>
  <si>
    <t xml:space="preserve">СОА20-УЗ21-117/24.01.2020 г.</t>
  </si>
  <si>
    <t xml:space="preserve">ДЕТСКА ГРАДИНА № 18 "ДЕТСКИ СВЯТ"</t>
  </si>
  <si>
    <t xml:space="preserve">"Средец"</t>
  </si>
  <si>
    <t xml:space="preserve">ж.к. "Яворов", ул. "Алея-II" № 2 </t>
  </si>
  <si>
    <t xml:space="preserve">000674369</t>
  </si>
  <si>
    <t xml:space="preserve">02/943-79-54</t>
  </si>
  <si>
    <t xml:space="preserve">odz18@abv.bg</t>
  </si>
  <si>
    <t xml:space="preserve">www.dg18.org</t>
  </si>
  <si>
    <t xml:space="preserve">Драга Цветкова Шопова</t>
  </si>
  <si>
    <t xml:space="preserve">948/14.03.2013 г.</t>
  </si>
  <si>
    <t xml:space="preserve">ул. "Георги Марков" № 2; 02/943-79-554</t>
  </si>
  <si>
    <t xml:space="preserve">ул. "Иван Асен ІІ" № 66</t>
  </si>
  <si>
    <t xml:space="preserve">Лидерство и мениджмънт в образованието</t>
  </si>
  <si>
    <t xml:space="preserve">24.01.2020 г.</t>
  </si>
  <si>
    <t xml:space="preserve">СОА19-ВК08-14491-[54]/12.11.2019 </t>
  </si>
  <si>
    <t xml:space="preserve">ДЕТСКА ГРАДИНА № 19 "СВЕТА СОФИЯ"</t>
  </si>
  <si>
    <t xml:space="preserve">"Лозенец"</t>
  </si>
  <si>
    <t xml:space="preserve">ул. "Христо Смирненски" № 36 </t>
  </si>
  <si>
    <t xml:space="preserve">000666155</t>
  </si>
  <si>
    <t xml:space="preserve">02/8661230</t>
  </si>
  <si>
    <t xml:space="preserve">cdg_19svetasofia@abv.bg</t>
  </si>
  <si>
    <t xml:space="preserve">http://dg19svetasofia.info/</t>
  </si>
  <si>
    <t xml:space="preserve">Афродита Димитрова Ильовска-Стефанова</t>
  </si>
  <si>
    <t xml:space="preserve">Приказкотерапия или как чрез приказките да създаваме позитивна образователна среда в условията на детската градина</t>
  </si>
  <si>
    <t xml:space="preserve">Професионално портфолио на учителите.Атестиране на педагогическите специалисти</t>
  </si>
  <si>
    <t xml:space="preserve">Първа долекарска помощ</t>
  </si>
  <si>
    <t xml:space="preserve">ДГ20-ЛД01-1-[1]/15.11.2019</t>
  </si>
  <si>
    <t xml:space="preserve">ДЕТСКА ГРАДИНА № 20 "ЖАСМИНОВ ПАРК"</t>
  </si>
  <si>
    <t xml:space="preserve">"Подуяне"</t>
  </si>
  <si>
    <t xml:space="preserve">ул. "Бесарабия" № 46 </t>
  </si>
  <si>
    <t xml:space="preserve">000666162</t>
  </si>
  <si>
    <t xml:space="preserve">02/9450595</t>
  </si>
  <si>
    <t xml:space="preserve">cdg20@abv.bg</t>
  </si>
  <si>
    <t xml:space="preserve">www.dg20eu</t>
  </si>
  <si>
    <t xml:space="preserve">Мария Борисова Христова</t>
  </si>
  <si>
    <t xml:space="preserve">0246/12.09.2011</t>
  </si>
  <si>
    <t xml:space="preserve">ул. "Бесарабия" № 46, тел. 02/9450595</t>
  </si>
  <si>
    <t xml:space="preserve">ул. "Бесарабия" № 46, тел. 02/9455189</t>
  </si>
  <si>
    <t xml:space="preserve">Курс - Хиперактивност и дефицит на вниманието</t>
  </si>
  <si>
    <t xml:space="preserve">Курс- Агресивни прояви в детската градина</t>
  </si>
  <si>
    <t xml:space="preserve">СОА19-ВК08-14491-[216]/13.12.2019</t>
  </si>
  <si>
    <t xml:space="preserve">ДЕТСКА ГРАДИНА № 21 "ЕЖКО БЕЖКО"</t>
  </si>
  <si>
    <t xml:space="preserve">с. Бусманци</t>
  </si>
  <si>
    <t xml:space="preserve">ул. "Крива ливада" № 11А </t>
  </si>
  <si>
    <t xml:space="preserve">175997309</t>
  </si>
  <si>
    <t xml:space="preserve">02/979 16 96/ 0878 907 835</t>
  </si>
  <si>
    <t xml:space="preserve">cdg_21@abv.bg</t>
  </si>
  <si>
    <t xml:space="preserve">dg21.bg</t>
  </si>
  <si>
    <t xml:space="preserve">Милена Георгиева Господинова</t>
  </si>
  <si>
    <t xml:space="preserve">552/07.10.2010</t>
  </si>
  <si>
    <t xml:space="preserve">с. Бусманци, ул. "Крива ливада" № 11А, 0878 907 835</t>
  </si>
  <si>
    <t xml:space="preserve">гр. София, ж.к. "Дружба-1", ул. "5016" № 3, 02/979 16 96</t>
  </si>
  <si>
    <t xml:space="preserve">"Зелена София"</t>
  </si>
  <si>
    <t xml:space="preserve"> „Активно приобщаване в системата на предучилищното образование”</t>
  </si>
  <si>
    <t xml:space="preserve">„Агресивни прояви в детските градини“</t>
  </si>
  <si>
    <t xml:space="preserve">„Mетоди и техники за ефективно включване на родителите и семейството в системата на ПУО“</t>
  </si>
  <si>
    <t xml:space="preserve">„Планиране, организация и контрол на обучението по БДП“</t>
  </si>
  <si>
    <t xml:space="preserve">СОА19-ВК08-14491-[164]/18.11.2019</t>
  </si>
  <si>
    <t xml:space="preserve">ДЕТСКА ГРАДИНА № 22 "ВЕЛИКДЕНЧЕ"</t>
  </si>
  <si>
    <t xml:space="preserve">"Люлин"</t>
  </si>
  <si>
    <t xml:space="preserve">ж.к. "Люлин-2", ул. "210-та" № 27</t>
  </si>
  <si>
    <t xml:space="preserve">000673819</t>
  </si>
  <si>
    <t xml:space="preserve">0884801690</t>
  </si>
  <si>
    <t xml:space="preserve">odz22@abv.bg</t>
  </si>
  <si>
    <t xml:space="preserve">odz22-velikdenche.com</t>
  </si>
  <si>
    <t xml:space="preserve">Камелия Кольова Богданова</t>
  </si>
  <si>
    <t xml:space="preserve">№ 81221342 от 08.06.1977 г.</t>
  </si>
  <si>
    <t xml:space="preserve">"Методика за обучение на децата и учениците по безопасност на движението" </t>
  </si>
  <si>
    <t xml:space="preserve">"Мотивация на работното място и развитие на екипната работа"</t>
  </si>
  <si>
    <t xml:space="preserve">"Повишаване на административния капацитет при работата с деца"</t>
  </si>
  <si>
    <t xml:space="preserve">СОА19-ВК08-14491-[175]/18.11.2019</t>
  </si>
  <si>
    <t xml:space="preserve">ДЕТСКА ГРАДИНА № 23 "ЗДРАВЕ"</t>
  </si>
  <si>
    <t xml:space="preserve">"Изгрев"</t>
  </si>
  <si>
    <t xml:space="preserve">ул. "Майор Юрий Гагарин" № 14-16</t>
  </si>
  <si>
    <t xml:space="preserve">000666582</t>
  </si>
  <si>
    <t xml:space="preserve">02/872 00 33</t>
  </si>
  <si>
    <t xml:space="preserve">odz23_zdrave@abv.bg</t>
  </si>
  <si>
    <t xml:space="preserve">dg-23.com</t>
  </si>
  <si>
    <t xml:space="preserve">Милена Василева Митова</t>
  </si>
  <si>
    <t xml:space="preserve">№ 970/24.07.1997 г.</t>
  </si>
  <si>
    <t xml:space="preserve">"Климътът и Аз" - проект НДЕФ</t>
  </si>
  <si>
    <t xml:space="preserve">Разработване,внедряване и използване на интерактивини методи </t>
  </si>
  <si>
    <t xml:space="preserve">Техники за контрол на професионалния стрес</t>
  </si>
  <si>
    <t xml:space="preserve">Агресивни прояви в детската градина</t>
  </si>
  <si>
    <t xml:space="preserve">СОА19-ВК08-14491-[155]/18.11.2019</t>
  </si>
  <si>
    <t xml:space="preserve">ДЕТСКА ГРАДИНА № 24 "НАДЕЖДА"</t>
  </si>
  <si>
    <t xml:space="preserve">ул. "Kумановски бой" № 16</t>
  </si>
  <si>
    <t xml:space="preserve">000674383</t>
  </si>
  <si>
    <t xml:space="preserve">0884/801 594; 02/9382957</t>
  </si>
  <si>
    <t xml:space="preserve">odz24@abv.bg</t>
  </si>
  <si>
    <t xml:space="preserve">Емилия Илиева Петрова</t>
  </si>
  <si>
    <t xml:space="preserve">Акт №2085/2013г. (АОС № 111/20.03.1997г.)</t>
  </si>
  <si>
    <t xml:space="preserve">гр. София, ул. "Кумановски бой" № 16, тел. 02/938 2957</t>
  </si>
  <si>
    <t xml:space="preserve">Тренинг "Ефективна комуникация и работа в екип.Разрешаване на конфликти."</t>
  </si>
  <si>
    <t xml:space="preserve">"Справяне с критични ситуации по време на учене."</t>
  </si>
  <si>
    <t xml:space="preserve">Методика на обучението по БДП. Специфични умения за работа в комисиите по БДП</t>
  </si>
  <si>
    <t xml:space="preserve">СОА19-ВК08-14491-[3]/08.11.2019</t>
  </si>
  <si>
    <t xml:space="preserve">ДЕТСКА ГРАДИНА № 25 "ИЗВОРЧЕ"</t>
  </si>
  <si>
    <t xml:space="preserve">гр. Банкя</t>
  </si>
  <si>
    <t xml:space="preserve">"Банкя"</t>
  </si>
  <si>
    <t xml:space="preserve">ул. "Петко Д. Петков" № 15 </t>
  </si>
  <si>
    <t xml:space="preserve">000666080</t>
  </si>
  <si>
    <t xml:space="preserve">0884801773</t>
  </si>
  <si>
    <t xml:space="preserve">odz25_izvorche@abv.bg</t>
  </si>
  <si>
    <t xml:space="preserve">dg25.info</t>
  </si>
  <si>
    <t xml:space="preserve">Милена Георгиева Джолева</t>
  </si>
  <si>
    <t xml:space="preserve">8/01.06.1996</t>
  </si>
  <si>
    <t xml:space="preserve">град Банкя, ул. "Петко Д. Петков" № 15</t>
  </si>
  <si>
    <t xml:space="preserve">град Банкя, ул. "Восток 2" № 4</t>
  </si>
  <si>
    <t xml:space="preserve">град Банкя, ул. "Царибродска" № 5</t>
  </si>
  <si>
    <t xml:space="preserve">Семинари </t>
  </si>
  <si>
    <t xml:space="preserve">Тренинг</t>
  </si>
  <si>
    <t xml:space="preserve">Обмяна на добри практики</t>
  </si>
  <si>
    <t xml:space="preserve">07.11.2019 г.</t>
  </si>
  <si>
    <t xml:space="preserve">СОА19-ВК08-14491-[44]/12.11.2019</t>
  </si>
  <si>
    <t xml:space="preserve">ДЕТСКА ГРАДИНА № 26 "КАЛИНА"</t>
  </si>
  <si>
    <t xml:space="preserve">София, СО, ж.к. Младост 1, ул. "Чудна градина" №8</t>
  </si>
  <si>
    <t xml:space="preserve">000673888</t>
  </si>
  <si>
    <t xml:space="preserve">02/974 57 38; 02/974 46 38</t>
  </si>
  <si>
    <t xml:space="preserve">geri.lubomirova@abv.bg</t>
  </si>
  <si>
    <t xml:space="preserve">www.dgkalina.bg</t>
  </si>
  <si>
    <t xml:space="preserve">Гергана Любомирова Делиджашка</t>
  </si>
  <si>
    <t xml:space="preserve">АОС №26 / 17.09.1996</t>
  </si>
  <si>
    <t xml:space="preserve">София, СО, ж.к. Младост 1, ул. "Чудна градина" № 8</t>
  </si>
  <si>
    <t xml:space="preserve">Вътрешноинституционална квалификация</t>
  </si>
  <si>
    <t xml:space="preserve">Продължаваща квалификация</t>
  </si>
  <si>
    <t xml:space="preserve">СОА19-ВК08-14491-[161]/18.11.2019</t>
  </si>
  <si>
    <t xml:space="preserve">ДЕТСКА ГРАДИНА № 27 "ДЕТСКА КИТКА"</t>
  </si>
  <si>
    <t xml:space="preserve">ул. "Възрожденска" № 19</t>
  </si>
  <si>
    <t xml:space="preserve">000667339</t>
  </si>
  <si>
    <t xml:space="preserve">29360467</t>
  </si>
  <si>
    <t xml:space="preserve">hristovaodz27@abv.bg</t>
  </si>
  <si>
    <t xml:space="preserve">odz27</t>
  </si>
  <si>
    <t xml:space="preserve">Галина Димитрова Христова</t>
  </si>
  <si>
    <t xml:space="preserve">сграда № 1- акт № 1956/18.09.2012;
сграда № 2 - акт № 2529/26.11.2015</t>
  </si>
  <si>
    <t xml:space="preserve">Сграда № 1 ул. "Възрожденска" № 19, 029382655</t>
  </si>
  <si>
    <t xml:space="preserve">Сграда № 2 ул. "Иван Кулин" № 9, 029360467</t>
  </si>
  <si>
    <t xml:space="preserve">Методика на обучението по безопастност на движението</t>
  </si>
  <si>
    <t xml:space="preserve">Адаптация на децата</t>
  </si>
  <si>
    <t xml:space="preserve">Иновативна детска градина</t>
  </si>
  <si>
    <t xml:space="preserve">СОА19-УЗ21-1949-[1]/14.11.2019</t>
  </si>
  <si>
    <t xml:space="preserve">ДЕТСКА ГРАДИНА № 28 "ЯН БИБИЯН"</t>
  </si>
  <si>
    <t xml:space="preserve">ж.к. "Младост-2", ул. "Проф. д-р Васил Златарски" № 8</t>
  </si>
  <si>
    <t xml:space="preserve">000673908</t>
  </si>
  <si>
    <t xml:space="preserve">028749054</t>
  </si>
  <si>
    <t xml:space="preserve">odz28@abv.bg</t>
  </si>
  <si>
    <t xml:space="preserve">www.dg28.info</t>
  </si>
  <si>
    <t xml:space="preserve">Корнелия Стефанова Танева</t>
  </si>
  <si>
    <t xml:space="preserve">29/17.09.1996 г.</t>
  </si>
  <si>
    <t xml:space="preserve">ул. "Проф. д-р Васил Златарски" № 8, тел. 02/8740296</t>
  </si>
  <si>
    <t xml:space="preserve">Обучение електронни дневници - педагогически специалисти</t>
  </si>
  <si>
    <t xml:space="preserve">Семинар "Придобиване правни умения на педагогическите специалисти"</t>
  </si>
  <si>
    <t xml:space="preserve">Обучение "Новости в изискванията за назначаване на хора с увреждания"</t>
  </si>
  <si>
    <t xml:space="preserve">СОА19-ВК08-14491-[29]/11.11.2019</t>
  </si>
  <si>
    <t xml:space="preserve">ДЕТСКА ГРАДИНА № 29 "СЛЪНЦЕ"</t>
  </si>
  <si>
    <t xml:space="preserve">ул. "Тодор Стоянов" № 18</t>
  </si>
  <si>
    <t xml:space="preserve">000673915</t>
  </si>
  <si>
    <t xml:space="preserve">02 870 62 28</t>
  </si>
  <si>
    <t xml:space="preserve">dg29@abv.bg</t>
  </si>
  <si>
    <t xml:space="preserve">www.odz29.com</t>
  </si>
  <si>
    <t xml:space="preserve">Елвира Захариева Омайникова</t>
  </si>
  <si>
    <t xml:space="preserve">№ 3053/ 17.11.2017 г.</t>
  </si>
  <si>
    <t xml:space="preserve">Библиотека в детската градина</t>
  </si>
  <si>
    <t xml:space="preserve">1. Продължаващ он мин. година : „From North to South for Better Understanding Europe"„Стратегически партньорства“, сектор „Училищно образование“ Проекти за „Партньорства за училищен обмен“ / Еразъм+ , 2. Нов - Заснеми и сподели -програма на ЕС - Еразъм +</t>
  </si>
  <si>
    <t xml:space="preserve">Възпитание и обучение на децата по БДП / продължаваща и въвеждаща/</t>
  </si>
  <si>
    <t xml:space="preserve">Международен симпозиум в Будва, Черна Гора</t>
  </si>
  <si>
    <t xml:space="preserve">Акценти в ДОС, ЗПУО и Наредба № 14 от 22.07.2019 г. / продължаваща вътрешноинстит./</t>
  </si>
  <si>
    <t xml:space="preserve">СОА19-ВК08-14491-[61]/12.11.2019</t>
  </si>
  <si>
    <t xml:space="preserve">ДЕТСКА ГРАДИНА № 30 "РАДЕЦКИ"</t>
  </si>
  <si>
    <t xml:space="preserve">ул. "Hикола Габровски" № 26 </t>
  </si>
  <si>
    <t xml:space="preserve">000673922</t>
  </si>
  <si>
    <t xml:space="preserve">0884801523</t>
  </si>
  <si>
    <t xml:space="preserve">odz_30@mail.bg</t>
  </si>
  <si>
    <t xml:space="preserve">dg-30.com</t>
  </si>
  <si>
    <t xml:space="preserve">Румяна Йорданова Стоилова</t>
  </si>
  <si>
    <t xml:space="preserve">1752/07.03.2018 г.</t>
  </si>
  <si>
    <t xml:space="preserve">Семинари</t>
  </si>
  <si>
    <t xml:space="preserve">ПКС</t>
  </si>
  <si>
    <t xml:space="preserve">СОА19-ВК08-14491-[144]/15.11.2019</t>
  </si>
  <si>
    <t xml:space="preserve">ДЕТСКА ГРАДИНА № 31 "ЛЮЛИН"</t>
  </si>
  <si>
    <t xml:space="preserve">ж.к. "Люлин-2", ул. "208-а", № 17</t>
  </si>
  <si>
    <t xml:space="preserve">000673826</t>
  </si>
  <si>
    <t xml:space="preserve">0884801691</t>
  </si>
  <si>
    <t xml:space="preserve">odz31_lulin@mail.bg</t>
  </si>
  <si>
    <t xml:space="preserve">www.dg31lulin.com</t>
  </si>
  <si>
    <t xml:space="preserve">Елеонора Димитрова Стоилкова</t>
  </si>
  <si>
    <t xml:space="preserve">№ 8846/24.06.2014</t>
  </si>
  <si>
    <t xml:space="preserve">Емпатия в приобщаващото образование</t>
  </si>
  <si>
    <t xml:space="preserve">Музикално педагогическо майсторство и кариера</t>
  </si>
  <si>
    <t xml:space="preserve">актуални проблеми на обучението по БДП</t>
  </si>
  <si>
    <t xml:space="preserve">15.11.2019 г.</t>
  </si>
  <si>
    <t xml:space="preserve">СОА19-ВК08-14491-[145]/15.11.2019</t>
  </si>
  <si>
    <t xml:space="preserve">ДЕТСКА ГРАДИНА № 32 "БЪЛГАРЧЕ"</t>
  </si>
  <si>
    <t xml:space="preserve">ж.к. "Люлин-3", ул. "315-та"</t>
  </si>
  <si>
    <t xml:space="preserve">000674390</t>
  </si>
  <si>
    <t xml:space="preserve">02/824 63 34</t>
  </si>
  <si>
    <t xml:space="preserve">odz32@abv.bg</t>
  </si>
  <si>
    <t xml:space="preserve">http://dg32-bulgarche.com/</t>
  </si>
  <si>
    <t xml:space="preserve">Станка Илиева Трифонова-Кукова</t>
  </si>
  <si>
    <t xml:space="preserve">гр. София, ж.к. "Люлин", ул. "Петър Бонев" № 3</t>
  </si>
  <si>
    <t xml:space="preserve">"Оптимизация на училищната мрежа"</t>
  </si>
  <si>
    <t xml:space="preserve">БДП</t>
  </si>
  <si>
    <t xml:space="preserve">Ранни предиктори за обучителни трудности,характерини за предучилищна възраст</t>
  </si>
  <si>
    <t xml:space="preserve">СОА19-ВК08-14491-[33]/12.11.2019</t>
  </si>
  <si>
    <t xml:space="preserve">ДЕТСКА ГРАДИНА № 33 "СРЕБЪРНИ ЗВЪНЧЕТА"</t>
  </si>
  <si>
    <t xml:space="preserve">ж.к. "Овча купел-2", ул. "Сребърни звънчета" № 4</t>
  </si>
  <si>
    <t xml:space="preserve">000674277</t>
  </si>
  <si>
    <t xml:space="preserve">0878467378</t>
  </si>
  <si>
    <t xml:space="preserve">odz33@abv.bg</t>
  </si>
  <si>
    <t xml:space="preserve">www.odz33.com</t>
  </si>
  <si>
    <t xml:space="preserve">Надка Николова Пачеджиева</t>
  </si>
  <si>
    <t xml:space="preserve">СОА19-ВК08-14491-[198]/20.11.2019 г.</t>
  </si>
  <si>
    <t xml:space="preserve">ДЕТСКА ГРАДИНА № 34 "БРЕЗИЧКА"</t>
  </si>
  <si>
    <t xml:space="preserve">ул. "Владимир Трендафилов" № 1 </t>
  </si>
  <si>
    <t xml:space="preserve">000674419</t>
  </si>
  <si>
    <t xml:space="preserve">02/8628340; 02/8628240</t>
  </si>
  <si>
    <t xml:space="preserve">odz34@abv.bg</t>
  </si>
  <si>
    <t xml:space="preserve">dg34.bg</t>
  </si>
  <si>
    <t xml:space="preserve">Теодора Асенова Йосифова</t>
  </si>
  <si>
    <t xml:space="preserve">3054/30.11.2017 г.</t>
  </si>
  <si>
    <t xml:space="preserve">Педагогическа практика "Утринна приказка"</t>
  </si>
  <si>
    <t xml:space="preserve">Техники за овладяване и контрол на професионалния стрес</t>
  </si>
  <si>
    <t xml:space="preserve">Методи за обучение на децата по БДП</t>
  </si>
  <si>
    <t xml:space="preserve">20.11.2019 г.</t>
  </si>
  <si>
    <t xml:space="preserve">СОА19-ВК08-14491-[206]/27.11.2019</t>
  </si>
  <si>
    <t xml:space="preserve">ДЕТСКА ГРАДИНА № 35 "ЩАСТЛИВО ДЕТСТВО"</t>
  </si>
  <si>
    <t xml:space="preserve">ул. "Георги Икономов" № 6 </t>
  </si>
  <si>
    <t xml:space="preserve">000675229</t>
  </si>
  <si>
    <t xml:space="preserve">08/824 88 30/0889366310</t>
  </si>
  <si>
    <t xml:space="preserve">dg35@abv.bg</t>
  </si>
  <si>
    <t xml:space="preserve">dg35.info</t>
  </si>
  <si>
    <t xml:space="preserve">Пепи Миланова Асенова</t>
  </si>
  <si>
    <t xml:space="preserve">№8845/06.08.2014</t>
  </si>
  <si>
    <t xml:space="preserve"> ж.к. "Люлин", ул. "Георги Икономов" № 6; тел. 0889366310</t>
  </si>
  <si>
    <t xml:space="preserve">1.Без свободен час; 2. Оптимизиране на вътршената структура на персонала</t>
  </si>
  <si>
    <t xml:space="preserve">Интерактивни методи нат работа в ДГ. Традиции и новости , техника и игри.</t>
  </si>
  <si>
    <t xml:space="preserve">СОА19-ВК08-14491-[104]/13.11.2019</t>
  </si>
  <si>
    <t xml:space="preserve">ДЕТСКА ГРАДИНА № 36 "ПЕПЕРУДА"</t>
  </si>
  <si>
    <t xml:space="preserve">ул. "Иван Арабаджията" № 40 </t>
  </si>
  <si>
    <t xml:space="preserve">000674426</t>
  </si>
  <si>
    <t xml:space="preserve">02/9790936</t>
  </si>
  <si>
    <t xml:space="preserve">odz36_peperuda@abv,bg</t>
  </si>
  <si>
    <t xml:space="preserve">http://peperuda36.com</t>
  </si>
  <si>
    <t xml:space="preserve">Верка Георгиева Кирчева</t>
  </si>
  <si>
    <t xml:space="preserve">2218/09.08.2018</t>
  </si>
  <si>
    <t xml:space="preserve">СОА19-ВК08-14491-[13]/08.11.2019</t>
  </si>
  <si>
    <t xml:space="preserve">ДЕТСКА ГРАДИНА № 37 "ВЪЛШЕБСТВО"</t>
  </si>
  <si>
    <t xml:space="preserve">кв. "Павлово", ул. "Белмекен" № 1</t>
  </si>
  <si>
    <t xml:space="preserve">000666319</t>
  </si>
  <si>
    <t xml:space="preserve">02 8554119</t>
  </si>
  <si>
    <t xml:space="preserve">dg37sofia@abv.bg</t>
  </si>
  <si>
    <t xml:space="preserve">dg37sofia.com</t>
  </si>
  <si>
    <t xml:space="preserve">Гергана Николаева Петрова</t>
  </si>
  <si>
    <t xml:space="preserve">№ 1170/ 05.02.2003 г.</t>
  </si>
  <si>
    <t xml:space="preserve">няма</t>
  </si>
  <si>
    <t xml:space="preserve">1.ПП „Утринна приказка“ – проект на МОН; 2.Национална програма МОН “Успяваме заедно“; 3. Проект BG05M2OP001-3.005-0004 „Активно приобщаване в системата на предучилищното образование“, финансиран от Оперативна програма „Наука и образование за интелигентен растеж“, съфинансирана от Европейския съюз чрез Европейските структурни и инвестиционни фондове, реализиран от Министерството на образованието и науката; 4. „Училищно мляко“; 5. „Училищен плод“;                          6. Подпомагане физическото възпитание и спорта за 2019г- ПМС 1297.“ ; 7.Моята зелена детска градина“</t>
  </si>
  <si>
    <t xml:space="preserve">1. Erasmus+  Грамотността в ДГ- EU-SELF - Social and Emotional Skills Development in Early Childhood Education and Care in Europe 2019-1-BG01-KA201-062593.; 2. Erasmus+ Ранното детско  развитие READ - Ready to Read 2019 - HU01- KA201-B766AE41; 3. Erasmus+ „Храна и хранене в ранната детска възраст“FINE! - Food and Nutrition In ECEC.</t>
  </si>
  <si>
    <t xml:space="preserve">1. “Интерактивни методи и техники за образователно взаимодействие”, „Сдружение за социално и образователно приобщаване“; 2. “Приобщаващо образование – философия и подкрепа“, „Сдружение за социално и образователно приобщаване“</t>
  </si>
  <si>
    <t xml:space="preserve">Първа долекарска помощ - Спешни детски състояния, Академия «Първа помощ»</t>
  </si>
  <si>
    <t xml:space="preserve">Сертифицирано обучение за работа с тестове - рейтинг скала за oценка на детския аутизъм „CARS 2”, Фондация „Хестия“</t>
  </si>
  <si>
    <t xml:space="preserve">СОА19-ВК08-14491-[93]/13.11.2019</t>
  </si>
  <si>
    <t xml:space="preserve">ДЕТСКА ГРАДИНА № 38 "ДОРА ГАБЕ"</t>
  </si>
  <si>
    <t xml:space="preserve">ул. "Св. Никола Нови" № 12</t>
  </si>
  <si>
    <t xml:space="preserve">000675236</t>
  </si>
  <si>
    <t xml:space="preserve">02 9387164</t>
  </si>
  <si>
    <t xml:space="preserve">dg38@mail.bg</t>
  </si>
  <si>
    <t xml:space="preserve">Петя Ангелова Радева</t>
  </si>
  <si>
    <t xml:space="preserve">№ 112/20.03.1997 г.</t>
  </si>
  <si>
    <t xml:space="preserve">гр. София, ул. "Св. Никола Нови" № 12, тел. 029387164</t>
  </si>
  <si>
    <t xml:space="preserve">"Климатът и аз"</t>
  </si>
  <si>
    <t xml:space="preserve">Педагогически</t>
  </si>
  <si>
    <t xml:space="preserve">непедагогически</t>
  </si>
  <si>
    <t xml:space="preserve">СОА19-ВК08-14491-[71]/13.11.2019</t>
  </si>
  <si>
    <t xml:space="preserve">ДЕТСКА ГРАДИНА № 39 "ПРОЛЕТ"</t>
  </si>
  <si>
    <t xml:space="preserve">ж.к. "Овча купел-1"</t>
  </si>
  <si>
    <t xml:space="preserve">121038400</t>
  </si>
  <si>
    <t xml:space="preserve">02/9560069</t>
  </si>
  <si>
    <t xml:space="preserve">odz_prolet@abv.bg</t>
  </si>
  <si>
    <t xml:space="preserve">www.39odz.com</t>
  </si>
  <si>
    <t xml:space="preserve">Олга Николова Сотева</t>
  </si>
  <si>
    <t xml:space="preserve">845/27.10.2000г.</t>
  </si>
  <si>
    <t xml:space="preserve">СОА19-ВК08-14491-[224]/28.01.2020</t>
  </si>
  <si>
    <t xml:space="preserve">ДЕТСКА ГРАДИНА № 40 "Д-Р Г. АНГУШЕВ"</t>
  </si>
  <si>
    <t xml:space="preserve">ж.к. Гоце Делчев, ул. "Метличина поляна" №10</t>
  </si>
  <si>
    <t xml:space="preserve">000666333</t>
  </si>
  <si>
    <t xml:space="preserve">02/859 11 15</t>
  </si>
  <si>
    <t xml:space="preserve">cdg_40@abv.bg</t>
  </si>
  <si>
    <t xml:space="preserve">www.deckagradina.info</t>
  </si>
  <si>
    <t xml:space="preserve">Веселина Момчилова Георгиева</t>
  </si>
  <si>
    <t xml:space="preserve">768/21.11.2000 г.</t>
  </si>
  <si>
    <t xml:space="preserve">ул. "Метличина поляна" №10</t>
  </si>
  <si>
    <t xml:space="preserve">1. BG05M20P001-2.010-0001 "Квалификация за професионално развитие на педагогическите специалисти"; 2. „ЗА ЧИСТА ОКОЛНА СРЕДА “ на тема „Обичам природата – и аз участвам“.</t>
  </si>
  <si>
    <t xml:space="preserve">МДБП</t>
  </si>
  <si>
    <t xml:space="preserve">Методически насоки и специфики в образователния процес</t>
  </si>
  <si>
    <t xml:space="preserve">Ранно оценяване на детето </t>
  </si>
  <si>
    <t xml:space="preserve">СОА20-УЗ21-115/24.01.2020 г.</t>
  </si>
  <si>
    <t xml:space="preserve">ДЕТСКА ГРАДИНА № 41 "ПРИЯТЕЛИ"</t>
  </si>
  <si>
    <t xml:space="preserve">с. Мърчаево</t>
  </si>
  <si>
    <t xml:space="preserve">ул. "Цар Симеон I" № 62</t>
  </si>
  <si>
    <t xml:space="preserve">175588547</t>
  </si>
  <si>
    <t xml:space="preserve">0897065882</t>
  </si>
  <si>
    <t xml:space="preserve">dg_41@abv.bg</t>
  </si>
  <si>
    <t xml:space="preserve">detskagradina41.com</t>
  </si>
  <si>
    <t xml:space="preserve">Габриела Ерменчова Станкова</t>
  </si>
  <si>
    <t xml:space="preserve">помещава се в 152 ОУ</t>
  </si>
  <si>
    <t xml:space="preserve">СОА19-ВК08-14491-[102]/13.11.2019</t>
  </si>
  <si>
    <t xml:space="preserve">ДЕТСКА ГРАДИНА № 42 "ЧАЙКА"</t>
  </si>
  <si>
    <t xml:space="preserve">ул. "Връбница-1"</t>
  </si>
  <si>
    <t xml:space="preserve">000675275</t>
  </si>
  <si>
    <t xml:space="preserve">029388161</t>
  </si>
  <si>
    <t xml:space="preserve">dg_42@abv.bg</t>
  </si>
  <si>
    <t xml:space="preserve">dg42.eu</t>
  </si>
  <si>
    <t xml:space="preserve">Гергана Кръстанова Георгиева-Кирилова</t>
  </si>
  <si>
    <t xml:space="preserve">Скрининг на деца </t>
  </si>
  <si>
    <t xml:space="preserve">Трудово правни отношения в ДГ </t>
  </si>
  <si>
    <t xml:space="preserve">Провеждане на процедури по ЗОП </t>
  </si>
  <si>
    <t xml:space="preserve">СОА19-ВК08-14491-[207]/27.11.2019</t>
  </si>
  <si>
    <t xml:space="preserve">ДЕТСКА ГРАДИНА № 43 "ТАЛАНТ"</t>
  </si>
  <si>
    <t xml:space="preserve">ул. "Георги Измирлиев" № 20</t>
  </si>
  <si>
    <t xml:space="preserve">000675282</t>
  </si>
  <si>
    <t xml:space="preserve">02/8598052; 02/8598072; 02/8594113</t>
  </si>
  <si>
    <t xml:space="preserve">tallant@abv.bg</t>
  </si>
  <si>
    <t xml:space="preserve">dg43-talant.com</t>
  </si>
  <si>
    <t xml:space="preserve">Цеца Асенова Николова</t>
  </si>
  <si>
    <t xml:space="preserve">№774 от 23.11.2000г.</t>
  </si>
  <si>
    <t xml:space="preserve">Вътрешноинституционална квалификация-семинар тренинг</t>
  </si>
  <si>
    <t xml:space="preserve">Семинар-тренинг</t>
  </si>
  <si>
    <t xml:space="preserve">СОА19-ВК08-14491-[14]/08.11.2019</t>
  </si>
  <si>
    <t xml:space="preserve">ДЕТСКА ГРАДИНА № 44 "КАЛИНА"</t>
  </si>
  <si>
    <t xml:space="preserve">"Кремиковци"</t>
  </si>
  <si>
    <t xml:space="preserve">кв. "Ботунец", ул. "Балкан" № 14, бл. 12 </t>
  </si>
  <si>
    <t xml:space="preserve">000667008</t>
  </si>
  <si>
    <t xml:space="preserve">02 9943633</t>
  </si>
  <si>
    <t xml:space="preserve">gradina_kalina44@abv.bg</t>
  </si>
  <si>
    <t xml:space="preserve">http://dg44kalina.com/</t>
  </si>
  <si>
    <t xml:space="preserve">Костадинка Петрова Георгиева</t>
  </si>
  <si>
    <t xml:space="preserve">№ 1446 от 15. 03. 2010 г.</t>
  </si>
  <si>
    <t xml:space="preserve">Обучение на педагогическите специалисти по програма "Управление на конфликтите в педагогическото взаимодействие. Техники за разрешаване."</t>
  </si>
  <si>
    <t xml:space="preserve">Обучение на педагогическите специалисти по програма" Професионално учителско и детско портфолио ".</t>
  </si>
  <si>
    <t xml:space="preserve">Обучение на педагогическите специалисти по програма "диагностични тестове за деца от предучилищна възраст".</t>
  </si>
  <si>
    <t xml:space="preserve">СОА19-ВК08-14491-[123]/14.11.2019</t>
  </si>
  <si>
    <t xml:space="preserve">ДЕТСКА ГРАДИНА № 45 "АЛИСА"</t>
  </si>
  <si>
    <t xml:space="preserve">"Сердика"</t>
  </si>
  <si>
    <t xml:space="preserve">София, ул. "Шумен" № 2</t>
  </si>
  <si>
    <t xml:space="preserve">000666372</t>
  </si>
  <si>
    <t xml:space="preserve">02/8310058; 0885 208 968; 0884 801 463</t>
  </si>
  <si>
    <t xml:space="preserve">alisa_45@abv.bg</t>
  </si>
  <si>
    <t xml:space="preserve">WWW.cdg45alisa.com</t>
  </si>
  <si>
    <t xml:space="preserve">Вела Сергиева Горова</t>
  </si>
  <si>
    <t xml:space="preserve">№ 9 / 22.01.1997 г.</t>
  </si>
  <si>
    <t xml:space="preserve">София, ул. "Шумен" № 2; 
тел. 02/8310058; 0885 208 968; 0884 801 463</t>
  </si>
  <si>
    <t xml:space="preserve">Проект BG05M2OP001-3.005-0004 "Активно приобщаване в системата на предуч. образование"</t>
  </si>
  <si>
    <t xml:space="preserve">Външна квалификация - обучение за придобиване на V ПКС в СУ-ДИУУ</t>
  </si>
  <si>
    <t xml:space="preserve">Външна квалификация - обучение  по Нар. 15/ 2019 г. за атестирането</t>
  </si>
  <si>
    <t xml:space="preserve">Вътрешноинституционална квалификация - обучение "Първа помощ при деца"</t>
  </si>
  <si>
    <t xml:space="preserve">СОА19-ВК08-14491-[26]/11.11.2019</t>
  </si>
  <si>
    <t xml:space="preserve">ДЕТСКА ГРАДИНА № 46 "ЖИВА ВОДА"</t>
  </si>
  <si>
    <t xml:space="preserve">кв. Симеоново, ул. "Kрайречна" № 9 </t>
  </si>
  <si>
    <t xml:space="preserve">000667392</t>
  </si>
  <si>
    <t xml:space="preserve">0884801663</t>
  </si>
  <si>
    <t xml:space="preserve">odz46@abv.bg</t>
  </si>
  <si>
    <t xml:space="preserve">dg46sofia.com</t>
  </si>
  <si>
    <t xml:space="preserve">Десислава Янкова</t>
  </si>
  <si>
    <t xml:space="preserve">АДС № 5843/10.04.1984; № 1074/24.06.2002</t>
  </si>
  <si>
    <t xml:space="preserve">София, кв. "Симеоново", ул. "Крайречна" № 9</t>
  </si>
  <si>
    <t xml:space="preserve">"Утринна приказка"</t>
  </si>
  <si>
    <t xml:space="preserve">Интерактивни методи и техники за образователно взаимодействие</t>
  </si>
  <si>
    <t xml:space="preserve">Приобщаващо образование </t>
  </si>
  <si>
    <t xml:space="preserve">СОА19-ВК08-14491-[109]/14.11.2019</t>
  </si>
  <si>
    <t xml:space="preserve">ДЕТСКА ГРАДИНА № 47 "НЕЗАБРАВКА"</t>
  </si>
  <si>
    <t xml:space="preserve">ул. "Полковник Никола Попов" №3</t>
  </si>
  <si>
    <t xml:space="preserve">000675325</t>
  </si>
  <si>
    <t xml:space="preserve">0884801694</t>
  </si>
  <si>
    <t xml:space="preserve">dg47nezabravka@abv.bg</t>
  </si>
  <si>
    <t xml:space="preserve">odz47.info</t>
  </si>
  <si>
    <t xml:space="preserve">Красимира Кирилова Стоянова</t>
  </si>
  <si>
    <t xml:space="preserve">№434/11.11.1996г.</t>
  </si>
  <si>
    <t xml:space="preserve">гр. София, ж.к. "Люлин", ул. "Полк. Никола Попов" № 3</t>
  </si>
  <si>
    <t xml:space="preserve">Изграждане на интерактивна учебна площадка по безопасно движение и приложно колоездене</t>
  </si>
  <si>
    <t xml:space="preserve">Разработване на планове за подкрепа при ресурсно подпомагане на деца със СОП</t>
  </si>
  <si>
    <t xml:space="preserve">Играта в образованието. Педагогически игрови технологии</t>
  </si>
  <si>
    <t xml:space="preserve">Обучение за прилагане на скриниг тест за деца от 3 до 3 години и 6 месеца</t>
  </si>
  <si>
    <t xml:space="preserve">СОА19-ВК08-14491-[70]/13.11.2019</t>
  </si>
  <si>
    <t xml:space="preserve">ДЕТСКА ГРАДИНА № 48 "БРАТЯ ГРИМ"</t>
  </si>
  <si>
    <t xml:space="preserve">ул. "Марин Д. Христов" № 5</t>
  </si>
  <si>
    <t xml:space="preserve">000675332</t>
  </si>
  <si>
    <t xml:space="preserve">02/8321022</t>
  </si>
  <si>
    <t xml:space="preserve">odz48@abv.bg</t>
  </si>
  <si>
    <t xml:space="preserve">odz48.com</t>
  </si>
  <si>
    <t xml:space="preserve">Петя Иванова Йосифова</t>
  </si>
  <si>
    <t xml:space="preserve">18/17.02.1997 г. </t>
  </si>
  <si>
    <t xml:space="preserve">ул. "Марин Д. Христов" № 5, 02/832 10 22</t>
  </si>
  <si>
    <t xml:space="preserve">1. Активно приобщаване в системата на предучилищното образование Дейност 1; 2. Активно приобщаване в системата на предучилищното образование Дейност 2; 3. Квалификация за професионално развитие на педагогическите специалисти; Информационни и комуникационни технологии в системата на предучилищното и училищното образование; Оптимизиране на вътрешната структура на персонала</t>
  </si>
  <si>
    <t xml:space="preserve">Реформа на образованието в ранна детска възраств Източна Европа REFEE</t>
  </si>
  <si>
    <t xml:space="preserve">Децата в аутистичен спектър</t>
  </si>
  <si>
    <t xml:space="preserve">Музикотерапия</t>
  </si>
  <si>
    <t xml:space="preserve">По проект REFEE 1. Игра и учене; 2. Музика с малки деца на практика и теория; 3. Тяло, сензорика и движение; </t>
  </si>
  <si>
    <t xml:space="preserve">СОА19-ВК08-14491-[19]/11.11.2019</t>
  </si>
  <si>
    <t xml:space="preserve">ДЕТСКА ГРАДИНА № 49 "РАДОСТ"</t>
  </si>
  <si>
    <t xml:space="preserve">ул. "Св. Пимен Зографски" № 5</t>
  </si>
  <si>
    <t xml:space="preserve">000675345</t>
  </si>
  <si>
    <t xml:space="preserve">02 962 05 31; 0884801583</t>
  </si>
  <si>
    <t xml:space="preserve">odz_49_radost@abv.bg</t>
  </si>
  <si>
    <t xml:space="preserve">dg49-radost.org</t>
  </si>
  <si>
    <t xml:space="preserve">Илонка Лазарова Стоянова </t>
  </si>
  <si>
    <t xml:space="preserve">№ 3055</t>
  </si>
  <si>
    <t xml:space="preserve">1.,,Квалификация на педагогическите специалисти"</t>
  </si>
  <si>
    <t xml:space="preserve">2. ,,Активно приобщаване в системата на предучилищното образование"</t>
  </si>
  <si>
    <t xml:space="preserve">педагогически ,,Методика на възпоитание и обучение по БДП"</t>
  </si>
  <si>
    <t xml:space="preserve">директор - ,,Трудови правоотношения в ДГ. Съдържание и форма за сключване на трудови договори, прекратяване на трудови договори"</t>
  </si>
  <si>
    <t xml:space="preserve">,,Интеграция на деца със СОП"</t>
  </si>
  <si>
    <t xml:space="preserve">СОА19-ВК08-14491-[225]/28.01.2020</t>
  </si>
  <si>
    <t xml:space="preserve">ДЕТСКА ГРАДИНА № 50 "ЗАЙЧЕТО КУИКИ"</t>
  </si>
  <si>
    <t xml:space="preserve">кв. "Зона Б-5" </t>
  </si>
  <si>
    <t xml:space="preserve">000675357</t>
  </si>
  <si>
    <t xml:space="preserve">02/829-26-70, 02/822-91-41</t>
  </si>
  <si>
    <t xml:space="preserve">odz50@dir.bg</t>
  </si>
  <si>
    <t xml:space="preserve">odz50.bg</t>
  </si>
  <si>
    <t xml:space="preserve">Мария Яворова Цанева</t>
  </si>
  <si>
    <t xml:space="preserve">Акт № 10220/17.03.1983 г.</t>
  </si>
  <si>
    <t xml:space="preserve">Зона Б-5, ул. "Осогово" №1</t>
  </si>
  <si>
    <t xml:space="preserve">1. Национална програма „Оптимизация на вътрешната структура на персонала в институциите от системата на предучилищното и училищното образование"; 2.  Национална програма "Информационни и комуникационни технологии (ИКТ) в системата на предучилищното и училищното образование"</t>
  </si>
  <si>
    <t xml:space="preserve">Извънучилищна квалификация</t>
  </si>
  <si>
    <t xml:space="preserve">Вътрешноучилищна квалификация</t>
  </si>
  <si>
    <t xml:space="preserve">28.01.2020 г.</t>
  </si>
  <si>
    <t xml:space="preserve">СОА19-ВК08-14491-[11]/08.11.2019</t>
  </si>
  <si>
    <t xml:space="preserve">ДЕТСКА ГРАДИНА № 51 "ЩУРЧЕ"</t>
  </si>
  <si>
    <t xml:space="preserve">"Илинден"</t>
  </si>
  <si>
    <t xml:space="preserve">ул. "Цар Симеон" № 271</t>
  </si>
  <si>
    <t xml:space="preserve">000675364</t>
  </si>
  <si>
    <t xml:space="preserve">0884 801 580</t>
  </si>
  <si>
    <t xml:space="preserve">shturche_51@mail.bg</t>
  </si>
  <si>
    <t xml:space="preserve">htpps://51odz.com</t>
  </si>
  <si>
    <t xml:space="preserve">Светла Борисова Петрова</t>
  </si>
  <si>
    <t xml:space="preserve">АОС №160/08.06.1998г. , АОС №1221/29.07.2014 г.</t>
  </si>
  <si>
    <t xml:space="preserve">Продължаваща </t>
  </si>
  <si>
    <t xml:space="preserve">СОА19-ВК08-14491-[21]/11.11.2019</t>
  </si>
  <si>
    <t xml:space="preserve">ДЕТСКА ГРАДИНА № 52 "ИЛИНДЕНЧЕ"</t>
  </si>
  <si>
    <t xml:space="preserve">ул. "Пловдив" № 25</t>
  </si>
  <si>
    <t xml:space="preserve">000666066</t>
  </si>
  <si>
    <t xml:space="preserve">024263777</t>
  </si>
  <si>
    <t xml:space="preserve">dg_52@ abv.bg</t>
  </si>
  <si>
    <t xml:space="preserve">www.Ilindenche.net</t>
  </si>
  <si>
    <t xml:space="preserve">Анна Иванова Ганчева</t>
  </si>
  <si>
    <t xml:space="preserve">№2 /15.09.1948 г.</t>
  </si>
  <si>
    <t xml:space="preserve">ул. "Кукуш" № 1; тел: 024267780</t>
  </si>
  <si>
    <t xml:space="preserve">БАК-Подготовка и обучение на деца и персонал в ДГ</t>
  </si>
  <si>
    <t xml:space="preserve">Методическо подпомагане-въвеждаща квалификация</t>
  </si>
  <si>
    <t xml:space="preserve">СОА19-ВК08-14491-[110]/14.11.2019</t>
  </si>
  <si>
    <t xml:space="preserve">ДЕТСКА ГРАДИНА № 53 "ДЯДОВАТА РЪКАВИЧКА"</t>
  </si>
  <si>
    <t xml:space="preserve">ул.Иван Тургенев № 10</t>
  </si>
  <si>
    <t xml:space="preserve">000675389</t>
  </si>
  <si>
    <t xml:space="preserve">02 8322176</t>
  </si>
  <si>
    <t xml:space="preserve">odz53@abv.bg</t>
  </si>
  <si>
    <t xml:space="preserve">dg-53.com</t>
  </si>
  <si>
    <t xml:space="preserve">Десислава Кьосева</t>
  </si>
  <si>
    <t xml:space="preserve">13/22.01.1997г.</t>
  </si>
  <si>
    <t xml:space="preserve">"Игрови техники в организацията и реализирането на образователните компоненти възпитание и социализация"</t>
  </si>
  <si>
    <t xml:space="preserve">"Подготовка и обучение на децата и персонала в детската градина за безопасно поведение при бедствия"</t>
  </si>
  <si>
    <t xml:space="preserve">СОА19-ВК08-14491-[1]/06.11.2019</t>
  </si>
  <si>
    <t xml:space="preserve">ДЕТСКА ГРАДИНА № 54 "ДЪГА"</t>
  </si>
  <si>
    <t xml:space="preserve">"Красна поляна"</t>
  </si>
  <si>
    <t xml:space="preserve">ул. "Уста Генчо" № 4А </t>
  </si>
  <si>
    <t xml:space="preserve">000675396</t>
  </si>
  <si>
    <t xml:space="preserve">02/8217075</t>
  </si>
  <si>
    <t xml:space="preserve">daga@gbg.bg</t>
  </si>
  <si>
    <t xml:space="preserve">daga54.com</t>
  </si>
  <si>
    <t xml:space="preserve">Михаела Огнянова Милкова- Цанкова</t>
  </si>
  <si>
    <t xml:space="preserve">№21/26.02.1997</t>
  </si>
  <si>
    <t xml:space="preserve">ул. "Уста Генчо" № 4А  02/8217075</t>
  </si>
  <si>
    <t xml:space="preserve">129 ПМС</t>
  </si>
  <si>
    <t xml:space="preserve">Външни квалификации</t>
  </si>
  <si>
    <t xml:space="preserve">СОА19-ВК08-14491-[99]/13.11.2019</t>
  </si>
  <si>
    <t xml:space="preserve">ДЕТСКА ГРАДИНА № 55 "ИГЛИКА"</t>
  </si>
  <si>
    <t xml:space="preserve">ул. "417-та"</t>
  </si>
  <si>
    <t xml:space="preserve">000675407</t>
  </si>
  <si>
    <t xml:space="preserve">0884801695; 028241115</t>
  </si>
  <si>
    <t xml:space="preserve">iglika@abv.bg</t>
  </si>
  <si>
    <t xml:space="preserve">odz55.blogspot.com</t>
  </si>
  <si>
    <t xml:space="preserve">Снежана Стоянова Радева</t>
  </si>
  <si>
    <t xml:space="preserve">1191/21.11.1996 г.</t>
  </si>
  <si>
    <t xml:space="preserve">Конференция "Приобщаващо образование"</t>
  </si>
  <si>
    <t xml:space="preserve">Методика на обучение по БДП</t>
  </si>
  <si>
    <t xml:space="preserve">Приказките, игрите и играчките като средство за в-е на децата</t>
  </si>
  <si>
    <t xml:space="preserve">СОА19-ВК08-14491-[17]/08.11.2019</t>
  </si>
  <si>
    <t xml:space="preserve">ДЕТСКА ГРАДИНА № 56 "ЗДРАВЕЦ"</t>
  </si>
  <si>
    <t xml:space="preserve">ж.к. "Младост-3", ул. "Николай Николаев" № 13</t>
  </si>
  <si>
    <t xml:space="preserve">000675414</t>
  </si>
  <si>
    <t xml:space="preserve">02 8759074</t>
  </si>
  <si>
    <t xml:space="preserve">odz56@abv.bg</t>
  </si>
  <si>
    <t xml:space="preserve">www.odz56.com</t>
  </si>
  <si>
    <t xml:space="preserve">Наталия Миланова Маринова</t>
  </si>
  <si>
    <t xml:space="preserve">№ 23 / 17.09.1996 г.</t>
  </si>
  <si>
    <t xml:space="preserve">"Учим и знаем правилата" - изграждане на площада за БДП и приложно колоездене"</t>
  </si>
  <si>
    <t xml:space="preserve">"Обичам природата и аз участвам" на МОСВ И ПУДОС </t>
  </si>
  <si>
    <t xml:space="preserve">"Първа долекарска помощ при деца"</t>
  </si>
  <si>
    <t xml:space="preserve">"JUMP Math$ - иновативна система за преподаване по математика</t>
  </si>
  <si>
    <t xml:space="preserve">"Интерактивна образователна среда за възпитание и обучение по безопасност на движението по пътищата"</t>
  </si>
  <si>
    <t xml:space="preserve">СОА19-ВК08-14491-[6]/08.11.2019</t>
  </si>
  <si>
    <t xml:space="preserve">ДЕТСКА ГРАДИНА № 57 "ХОСЕ МАРТИ"</t>
  </si>
  <si>
    <t xml:space="preserve">ж.к. "Люлин-5", ул. "501-ва" </t>
  </si>
  <si>
    <t xml:space="preserve">000666486</t>
  </si>
  <si>
    <t xml:space="preserve">02/8253820; 02/8250975; 02/8253785</t>
  </si>
  <si>
    <t xml:space="preserve">cdg57@abv.bg</t>
  </si>
  <si>
    <t xml:space="preserve">dg57_hosemarti.com</t>
  </si>
  <si>
    <t xml:space="preserve">Емилия Василева Караиванова</t>
  </si>
  <si>
    <t xml:space="preserve">СО, дирекция "ПИСТ"</t>
  </si>
  <si>
    <t xml:space="preserve">вътрешно-институционална - семинари</t>
  </si>
  <si>
    <t xml:space="preserve">външно-институционална- семинари</t>
  </si>
  <si>
    <t xml:space="preserve">вътрешно-институционална - практикум</t>
  </si>
  <si>
    <t xml:space="preserve">СОА19-ВК08-14491-[35]/12.11.2019</t>
  </si>
  <si>
    <t xml:space="preserve">ДЕТСКА ГРАДИНА № 58 "СЛЪНЧЕВО УТРО"</t>
  </si>
  <si>
    <t xml:space="preserve">кв. "Челопечене", ул. "Яне Стоянов" № 19 </t>
  </si>
  <si>
    <t xml:space="preserve">000674675</t>
  </si>
  <si>
    <t xml:space="preserve">0884 801 742</t>
  </si>
  <si>
    <t xml:space="preserve">trajka_1@abv.bg</t>
  </si>
  <si>
    <t xml:space="preserve">www.detskagradina58.com</t>
  </si>
  <si>
    <t xml:space="preserve">Трайка Кирилова Бързева</t>
  </si>
  <si>
    <t xml:space="preserve">3004/ 2016г.</t>
  </si>
  <si>
    <t xml:space="preserve">02/ 4832883</t>
  </si>
  <si>
    <t xml:space="preserve">София - европейска столица на спорта</t>
  </si>
  <si>
    <t xml:space="preserve">Атестиране на педагогическите специалисти - практически насоки за успешно оценяване и самооценяване</t>
  </si>
  <si>
    <t xml:space="preserve">Основни подходи за превенция на агресията в педагогическото взаимодействие</t>
  </si>
  <si>
    <t xml:space="preserve">Ранното детско образование в предучилищна възраст в ПС АБВ за иновация и интеграция - семинар-дискусия</t>
  </si>
  <si>
    <t xml:space="preserve">СОА19-ВК08-14491-[22]/11.11.2019</t>
  </si>
  <si>
    <t xml:space="preserve">ДЕТСКА ГРАДИНА № 59 "ЕЛХИЦА"</t>
  </si>
  <si>
    <t xml:space="preserve">ж. к. Младост 3, ул. "Д-р Н. Николаев" № 11</t>
  </si>
  <si>
    <t xml:space="preserve">000675446</t>
  </si>
  <si>
    <t xml:space="preserve">029759029</t>
  </si>
  <si>
    <t xml:space="preserve">odz59@abv.bg</t>
  </si>
  <si>
    <t xml:space="preserve">odz59.com</t>
  </si>
  <si>
    <t xml:space="preserve">Виолета Николова Коцева </t>
  </si>
  <si>
    <t xml:space="preserve">34 от 17.09.1996 г.</t>
  </si>
  <si>
    <t xml:space="preserve">Младост 3, ул. "Д-р Н. Николаев" 11</t>
  </si>
  <si>
    <t xml:space="preserve">ЕРАЗЪМ+ К1</t>
  </si>
  <si>
    <t xml:space="preserve">Директор</t>
  </si>
  <si>
    <t xml:space="preserve">Педагози</t>
  </si>
  <si>
    <t xml:space="preserve">Помощник възпитатели</t>
  </si>
  <si>
    <t xml:space="preserve">СОА19-ВК08-14491-[185]/18.11.2019</t>
  </si>
  <si>
    <t xml:space="preserve">ДЕТСКА ГРАДИНА № 60 "БОР"</t>
  </si>
  <si>
    <t xml:space="preserve">кв. Княжево, ул. "Княжевска" № 41</t>
  </si>
  <si>
    <t xml:space="preserve">000674180</t>
  </si>
  <si>
    <t xml:space="preserve">0885310056</t>
  </si>
  <si>
    <t xml:space="preserve">sdg60@abv.bg</t>
  </si>
  <si>
    <t xml:space="preserve">http://dg60bor.com/</t>
  </si>
  <si>
    <t xml:space="preserve">Надя Цветанова Велкова</t>
  </si>
  <si>
    <t xml:space="preserve">№ 1104/23.09.2002 г. (гр. София, ул. "Слънце" № 2)</t>
  </si>
  <si>
    <t xml:space="preserve">"Иновативни педагогически стратегии за формиране на компетентности в ПВ"</t>
  </si>
  <si>
    <t xml:space="preserve">"Приобщаващо образование- философия на подкрепата"</t>
  </si>
  <si>
    <t xml:space="preserve">"Интерактивни методи и техники за образователно взаимодействие".</t>
  </si>
  <si>
    <t xml:space="preserve">СОА19-ВК08-14491-[24]/11.11.2019</t>
  </si>
  <si>
    <t xml:space="preserve">ДЕТСКА ГРАДИНА № 61 "ШАРЕНО ПЕТЛЕ"</t>
  </si>
  <si>
    <t xml:space="preserve">"Слатина"</t>
  </si>
  <si>
    <t xml:space="preserve">ул. "Камчия" № 1 </t>
  </si>
  <si>
    <t xml:space="preserve">000676155</t>
  </si>
  <si>
    <t xml:space="preserve">02 87009377, 02 9717175</t>
  </si>
  <si>
    <t xml:space="preserve">dg61@mail.bg</t>
  </si>
  <si>
    <t xml:space="preserve">dg61slatina.com</t>
  </si>
  <si>
    <t xml:space="preserve">Елена Венцеславова Димитрова</t>
  </si>
  <si>
    <t xml:space="preserve">2/26.08.1983г</t>
  </si>
  <si>
    <t xml:space="preserve">София, ул. Камчия 1</t>
  </si>
  <si>
    <t xml:space="preserve">1. Обучение по проект "Квалификация на пед. специалисти"; 2. Изграждане на площадка по БДП</t>
  </si>
  <si>
    <t xml:space="preserve">Учебна работа в детската градина в богата на технологии среда-работа с интерактивна дъска, таблети и образователен софтуер</t>
  </si>
  <si>
    <t xml:space="preserve">БДП - Методика на преподаването </t>
  </si>
  <si>
    <t xml:space="preserve">Разрешаване на конфликти в ПВ. Техники за разрешаване. Приказкотерапия</t>
  </si>
  <si>
    <t xml:space="preserve">СОА19-ВК08-14491-[122]/14.11.2019</t>
  </si>
  <si>
    <t xml:space="preserve">ДЕТСКА ГРАДИНА № 62 "ЗОРНИЦА"</t>
  </si>
  <si>
    <t xml:space="preserve">кв. "Хр. Ботев", ул. "502-ра" № 6 </t>
  </si>
  <si>
    <t xml:space="preserve">000666504</t>
  </si>
  <si>
    <t xml:space="preserve">02/9450663</t>
  </si>
  <si>
    <t xml:space="preserve">zdg62@abv.bg</t>
  </si>
  <si>
    <t xml:space="preserve">62dg.bg</t>
  </si>
  <si>
    <t xml:space="preserve">София Петрова Минева</t>
  </si>
  <si>
    <t xml:space="preserve">№ 0698/28.04.1999 г.</t>
  </si>
  <si>
    <t xml:space="preserve">гр. София, кв. "Христо Ботев", ул. "502-ра", № 6; 
тел. 02/9450663</t>
  </si>
  <si>
    <t xml:space="preserve">1. ПМС 129 ПИСТ; 2. "Фамилиада за деца и родител" финансиран от ЦОИДУЕМ</t>
  </si>
  <si>
    <t xml:space="preserve">Ефективни методи за управление, решаване на конфликти и вземане на решения</t>
  </si>
  <si>
    <t xml:space="preserve">Управление на конфликтите в ПВ </t>
  </si>
  <si>
    <t xml:space="preserve">СОА19-ВК08-14491-[176]/18.11.2019</t>
  </si>
  <si>
    <t xml:space="preserve">ДЕТСКА ГРАДИНА № 63 "СЛЪНЦЕ"</t>
  </si>
  <si>
    <t xml:space="preserve">ул. "Стария кладенец" № 2 </t>
  </si>
  <si>
    <t xml:space="preserve">000666014</t>
  </si>
  <si>
    <t xml:space="preserve">029367091</t>
  </si>
  <si>
    <t xml:space="preserve">dg_63@abv.bg</t>
  </si>
  <si>
    <t xml:space="preserve">dg-63.eu</t>
  </si>
  <si>
    <t xml:space="preserve">Мариела Ангелова Григорова</t>
  </si>
  <si>
    <t xml:space="preserve">№ 1731 от 08.11.2016 г.</t>
  </si>
  <si>
    <t xml:space="preserve">Активно приобщаване в системата на предучилищното образование</t>
  </si>
  <si>
    <t xml:space="preserve">Презентационни умения. Вербална и невербална комуникация в работата на уч-ля</t>
  </si>
  <si>
    <t xml:space="preserve">Професионално портфолио на учителя и атестиране на педагогическите специалисти</t>
  </si>
  <si>
    <t xml:space="preserve">Общуване на учителя с новите поколения ученици</t>
  </si>
  <si>
    <t xml:space="preserve">СОА19-ВК08-14491-[148]/15.11.2019</t>
  </si>
  <si>
    <t xml:space="preserve">ДЕТСКА ГРАДИНА № 64 "ПЪРВИ ЮНИ"</t>
  </si>
  <si>
    <t xml:space="preserve">ж.к. "Люлин-7", ул. "Полковник Стоян Топузов"</t>
  </si>
  <si>
    <t xml:space="preserve">000675802</t>
  </si>
  <si>
    <t xml:space="preserve">0884801696</t>
  </si>
  <si>
    <t xml:space="preserve">dmicheva_odz64@abv.bg</t>
  </si>
  <si>
    <t xml:space="preserve">www.dg64.eu</t>
  </si>
  <si>
    <t xml:space="preserve">Дочка Стоянова Мичева</t>
  </si>
  <si>
    <t xml:space="preserve">3148/24.09.1984г.</t>
  </si>
  <si>
    <t xml:space="preserve">СОА19-ВК08-14491-[15]/08.11.2019</t>
  </si>
  <si>
    <t xml:space="preserve">ДЕТСКА ГРАДИНА № 65 "СЛЪНЧЕВО ДЕТСТВО"</t>
  </si>
  <si>
    <t xml:space="preserve">ул. "Александър Момчев" № 2 </t>
  </si>
  <si>
    <t xml:space="preserve">000676167</t>
  </si>
  <si>
    <t xml:space="preserve">02 871 81 54 </t>
  </si>
  <si>
    <t xml:space="preserve">odz65@abv.bg</t>
  </si>
  <si>
    <t xml:space="preserve">dg65</t>
  </si>
  <si>
    <t xml:space="preserve">Виталия Христова Коцева </t>
  </si>
  <si>
    <t xml:space="preserve">0696 /28.04.1999  и  1633/12.02.2013 г.</t>
  </si>
  <si>
    <t xml:space="preserve">ул."Ал.Момчев" 2 тел: 0884801509</t>
  </si>
  <si>
    <t xml:space="preserve">Ал.Момчев 2  тел 02 871 81 54</t>
  </si>
  <si>
    <t xml:space="preserve">1 Наука и образование за интелектуален разтеж</t>
  </si>
  <si>
    <t xml:space="preserve">2.Квалификация на педагогическите специалисти </t>
  </si>
  <si>
    <t xml:space="preserve">3.Еразъм  №2019-1-BG01-UD 101-061556</t>
  </si>
  <si>
    <t xml:space="preserve">Наука и образование за интелектуален разтеж</t>
  </si>
  <si>
    <t xml:space="preserve">Квалификация на педагогическите специалисти </t>
  </si>
  <si>
    <t xml:space="preserve">Еразъм ,К1 </t>
  </si>
  <si>
    <t xml:space="preserve">СОА19-ВК08-14491-[41]/12.11.2019</t>
  </si>
  <si>
    <t xml:space="preserve">ДЕТСКА ГРАДИНА № 66 "ЕЛИЦА"</t>
  </si>
  <si>
    <t xml:space="preserve">ул. "Риляник" № 10 </t>
  </si>
  <si>
    <t xml:space="preserve">000667150</t>
  </si>
  <si>
    <t xml:space="preserve">02 992 3146</t>
  </si>
  <si>
    <t xml:space="preserve">odz_66elica@abv.bg</t>
  </si>
  <si>
    <t xml:space="preserve">www.odzelica.com</t>
  </si>
  <si>
    <t xml:space="preserve">София Христова Янкулова</t>
  </si>
  <si>
    <t xml:space="preserve">акт. № 85158/19.10.1978</t>
  </si>
  <si>
    <t xml:space="preserve">Еразъм+ - Вибрация на музиката, Еразъм+ - MOV UP - Просоциални ценности</t>
  </si>
  <si>
    <t xml:space="preserve">Квалификационен курс</t>
  </si>
  <si>
    <t xml:space="preserve">Обучение</t>
  </si>
  <si>
    <t xml:space="preserve">Семинар</t>
  </si>
  <si>
    <t xml:space="preserve">СОА19-ВК08-14491-[128]/14.11.2019</t>
  </si>
  <si>
    <t xml:space="preserve">ДЕТСКА ГРАДИНА № 67 "ЧУЧУЛИГА"</t>
  </si>
  <si>
    <t xml:space="preserve">ул. "Бъкстон" № 16 </t>
  </si>
  <si>
    <t xml:space="preserve">000666550</t>
  </si>
  <si>
    <t xml:space="preserve">0884801413</t>
  </si>
  <si>
    <t xml:space="preserve">dg_67@abv.bg</t>
  </si>
  <si>
    <t xml:space="preserve">dg67sf.com</t>
  </si>
  <si>
    <t xml:space="preserve">Олга Александрова Иванова</t>
  </si>
  <si>
    <t xml:space="preserve">№ 7127/01.04.1970 г.; № 1128/20.01.2004 г.</t>
  </si>
  <si>
    <t xml:space="preserve">ж.к. "Бъкстон", бл. 8</t>
  </si>
  <si>
    <t xml:space="preserve">Еко проект Национална кампания "За чиста  околна среда - 2019 г.", "Обичам прородата и аз участвам"</t>
  </si>
  <si>
    <t xml:space="preserve">Дислексия на развитието</t>
  </si>
  <si>
    <t xml:space="preserve">Разработва на планове за допълнителна подкрепа при ресурсно подпомагане на деца със СОП</t>
  </si>
  <si>
    <t xml:space="preserve">Неврози в детска възраст</t>
  </si>
  <si>
    <t xml:space="preserve">СОА19-ВК08-14491-[101]/13.11.2019</t>
  </si>
  <si>
    <t xml:space="preserve">ДЕТСКА ГРАДИНА № 68 "РАН БОСИЛЕК"</t>
  </si>
  <si>
    <t xml:space="preserve">София, р-н Люлин 7, ул. "Иван и Стиляна Параскевови" № 5</t>
  </si>
  <si>
    <t xml:space="preserve">000675791</t>
  </si>
  <si>
    <t xml:space="preserve">028257240 </t>
  </si>
  <si>
    <t xml:space="preserve">odz68@abv.bg</t>
  </si>
  <si>
    <t xml:space="preserve">www.dg68-ranbosilek.com</t>
  </si>
  <si>
    <t xml:space="preserve">Лиляна Николова Василева</t>
  </si>
  <si>
    <t xml:space="preserve">8848 от 24.06.2014 год.</t>
  </si>
  <si>
    <t xml:space="preserve">"Ще успеем заедно"</t>
  </si>
  <si>
    <t xml:space="preserve">Квалификационен семинар</t>
  </si>
  <si>
    <t xml:space="preserve">Практикум</t>
  </si>
  <si>
    <t xml:space="preserve">СОА19-ВК08-14491-[171]/18.11.2019</t>
  </si>
  <si>
    <t xml:space="preserve">ДЕТСКА ГРАДИНА № 69 "ЖАР ПТИЦА"</t>
  </si>
  <si>
    <t xml:space="preserve">ул. "Hайден Георгиев" № 12 </t>
  </si>
  <si>
    <t xml:space="preserve">000676174</t>
  </si>
  <si>
    <t xml:space="preserve">028402590* 028402628</t>
  </si>
  <si>
    <t xml:space="preserve">jar.ptica_69@abv.bg</t>
  </si>
  <si>
    <t xml:space="preserve">https://дг69.com/</t>
  </si>
  <si>
    <t xml:space="preserve">Нели Ангелова Ангелова</t>
  </si>
  <si>
    <t xml:space="preserve">№ 0020/25.10.1996 г.</t>
  </si>
  <si>
    <t xml:space="preserve">ул. "Найден Георгиев" № 12, ж.к. "Хаджи Димитър"</t>
  </si>
  <si>
    <t xml:space="preserve">Футболни таланти с ДФК "Лъвчета"</t>
  </si>
  <si>
    <t xml:space="preserve">Децата се учат как да защитават животните</t>
  </si>
  <si>
    <t xml:space="preserve">Диагностични тестове за деца от ПУВ</t>
  </si>
  <si>
    <t xml:space="preserve">Управление на професионалния стрес и емоциите</t>
  </si>
  <si>
    <t xml:space="preserve">СОА19-ВК08-14491-[212]/29.11.2019</t>
  </si>
  <si>
    <t xml:space="preserve">ДЕТСКА ГРАДИНА № 70 "ПРОЛЕТ"</t>
  </si>
  <si>
    <t xml:space="preserve">ж.к. "Младост-3" (до бл. 307)</t>
  </si>
  <si>
    <t xml:space="preserve">000675827</t>
  </si>
  <si>
    <t xml:space="preserve">02/9964399</t>
  </si>
  <si>
    <t xml:space="preserve">tancheva.odz70@gmail.com</t>
  </si>
  <si>
    <t xml:space="preserve">www.dg-70prolet.com</t>
  </si>
  <si>
    <t xml:space="preserve">Трендафилка Иванова Анчева</t>
  </si>
  <si>
    <t xml:space="preserve">38/17.09.1996г.</t>
  </si>
  <si>
    <t xml:space="preserve">Обучителен курс  на тема "Най-новите информационни технологии в процеса на обучение"</t>
  </si>
  <si>
    <t xml:space="preserve">Семинар"Мотивиране на учителския екип за ефективна работа"</t>
  </si>
  <si>
    <t xml:space="preserve">Инов.методи за развитие и оценяване на творческите способности н ПВ</t>
  </si>
  <si>
    <t xml:space="preserve">СОА19-ВК08-14491-[136]/15.11.2019</t>
  </si>
  <si>
    <t xml:space="preserve">ДЕТСКА ГРАДИНА № 71 "ЩАСТИЕ"</t>
  </si>
  <si>
    <t xml:space="preserve">ж.к. "Младост-1", ул. "Усмивка" № 1</t>
  </si>
  <si>
    <t xml:space="preserve">000675834</t>
  </si>
  <si>
    <t xml:space="preserve">02/8750338; 02/8752032</t>
  </si>
  <si>
    <t xml:space="preserve">odz71@abv.bg</t>
  </si>
  <si>
    <t xml:space="preserve">dg71-shtastie.com</t>
  </si>
  <si>
    <t xml:space="preserve">Мария Илиева Панайотова</t>
  </si>
  <si>
    <t xml:space="preserve">№ 28/17.09.1996 г.</t>
  </si>
  <si>
    <t xml:space="preserve">Квалификация 2019 г.</t>
  </si>
  <si>
    <t xml:space="preserve">Активно приобщаване в системата напредучилищното образование</t>
  </si>
  <si>
    <t xml:space="preserve">семинар</t>
  </si>
  <si>
    <t xml:space="preserve">обучение</t>
  </si>
  <si>
    <t xml:space="preserve">дискусия</t>
  </si>
  <si>
    <t xml:space="preserve">СОА19-ВК08-14491-[143]/15.11.2019</t>
  </si>
  <si>
    <t xml:space="preserve">ДЕТСКА ГРАДИНА № 72 "ПРИКАЗКА БЕЗ КРАЙ"</t>
  </si>
  <si>
    <t xml:space="preserve">кв. "Дървеница", ул. "Белимел" № 11 </t>
  </si>
  <si>
    <t xml:space="preserve">176293610</t>
  </si>
  <si>
    <t xml:space="preserve">0884801483</t>
  </si>
  <si>
    <t xml:space="preserve">odz72@abv.bg</t>
  </si>
  <si>
    <t xml:space="preserve">http://www.dg72.eu/bg/</t>
  </si>
  <si>
    <t xml:space="preserve">Ана Георгиева Зографова-Лишкова</t>
  </si>
  <si>
    <t xml:space="preserve">№ 1184/26.09.2012</t>
  </si>
  <si>
    <t xml:space="preserve">"Прегърни ме с любов"</t>
  </si>
  <si>
    <t xml:space="preserve">ERASMUS+: "WELCOME"</t>
  </si>
  <si>
    <t xml:space="preserve">Обучителни курсове: "Дигитални технологии. Дигитална дъска. Създаване на интерактивно учебно съдържание."; "Методи и техники за ефективно включване на родителите и семейството в системата за предучилищното и училищно образование."; "Информационни и комуникационни технологии в образованието"
"Акценти в счетоводната отчетност на БО за 2019 г."; "Механизъм за безопасно движение по пътища"; "Приобщаващо образование и психологическа грижа за ученици със СОП и ученици в риск"; "Изменения и допълнения в ЗФУК в публични сектор и отчетността на стопанската дейност в БО"; "Практически въпроси по прилагане на КТ и колективното договаряне в образователната система"; "Новият ЗМИП и Директива (ЕС) 215/849 на Европейския парламент и на съвета от 20 май 2015 г."; "Иновативни педагогически стратегии за формиране на ключови компетентности в предучилищна възраст в контекста на новите ДОС и в условията на интерактивна учебна среда"; "Иновативни методи за развитие на творческите способности в предучилищна възраст"</t>
  </si>
  <si>
    <t xml:space="preserve">Периодични обучения: по Наредба № РД 07-2, съгласно изискванията на чл. 6, ал. 2, т. 1, 2 и 3; Правилата за оказване на първа помощ, самопомощ и взаимопомощ.</t>
  </si>
  <si>
    <t xml:space="preserve">Научно-практически форуми и конференции: " Иновации в обучението и познавателното развитие."; "Качественото образование гарант за задържане на децата в образователната среда"; "Съвременни тенденции в предучилищно образование"; "Устойчивост и иновации в модернизирането на българската детска градина"</t>
  </si>
  <si>
    <t xml:space="preserve">СОА19-ВК08-14491-[147]/15.11.2019</t>
  </si>
  <si>
    <t xml:space="preserve">ДЕТСКА ГРАДИНА № 73 "МАРГАРИТА"</t>
  </si>
  <si>
    <t xml:space="preserve">ж.к. "Люлин-8", ул. "Гургулят" № 1</t>
  </si>
  <si>
    <t xml:space="preserve">000675819</t>
  </si>
  <si>
    <t xml:space="preserve">0876 64 31 85</t>
  </si>
  <si>
    <t xml:space="preserve">odz73_sofia@abv.bg</t>
  </si>
  <si>
    <t xml:space="preserve">www.dg73-margarita.com</t>
  </si>
  <si>
    <t xml:space="preserve">Людмила Асенова Савова</t>
  </si>
  <si>
    <t xml:space="preserve">Образец 16/25.12.1984 г.</t>
  </si>
  <si>
    <t xml:space="preserve">ОП "Наука и образование за интелигентен растеж" - Проект BG05M2OP001-2.010-0001</t>
  </si>
  <si>
    <t xml:space="preserve">Външноинституционални - 4 бр.</t>
  </si>
  <si>
    <t xml:space="preserve">Вътрешноинституционални - 8 бр.</t>
  </si>
  <si>
    <t xml:space="preserve">СОА19-УЗ21-1940/13.11.2019</t>
  </si>
  <si>
    <t xml:space="preserve">ДЕТСКА ГРАДИНА № 74 "ДЪГА"</t>
  </si>
  <si>
    <t xml:space="preserve">ж.к. "Суха река" , ул. "Хан Севар" № 1</t>
  </si>
  <si>
    <t xml:space="preserve">000676181</t>
  </si>
  <si>
    <t xml:space="preserve">02/8479836; 02/8479762</t>
  </si>
  <si>
    <t xml:space="preserve">r.s.velinova@abv.bg</t>
  </si>
  <si>
    <t xml:space="preserve">www.dg74-daga.com</t>
  </si>
  <si>
    <t xml:space="preserve">Райна  Симеонова Велинова</t>
  </si>
  <si>
    <t xml:space="preserve">0010 /22.10.1996 г.</t>
  </si>
  <si>
    <t xml:space="preserve">ул. "Хан  Севар"№1, тел. 0879122383</t>
  </si>
  <si>
    <t xml:space="preserve">Теории и практикив светлината на новостите в системата на предуч. Образование</t>
  </si>
  <si>
    <t xml:space="preserve">Методика   на обучението на децата по безопасност на движението по пътищата</t>
  </si>
  <si>
    <t xml:space="preserve">СОА19-ВК08-14491-[121]/14.11.2019</t>
  </si>
  <si>
    <t xml:space="preserve">ДЕТСКА ГРАДИНА № 75 "СЪРЧИЦЕ"</t>
  </si>
  <si>
    <t xml:space="preserve">ж.к. "Младост-1A", ул. "Сърчице" № 4 </t>
  </si>
  <si>
    <t xml:space="preserve">000676217</t>
  </si>
  <si>
    <t xml:space="preserve">02/877 03 96; 02/874 94 29</t>
  </si>
  <si>
    <t xml:space="preserve">dg75sf@abv.bg</t>
  </si>
  <si>
    <t xml:space="preserve">www.dg75.bg</t>
  </si>
  <si>
    <t xml:space="preserve">Миглена Милкова Стойнова</t>
  </si>
  <si>
    <t xml:space="preserve">№ 22/17.09.19961</t>
  </si>
  <si>
    <t xml:space="preserve">гр .София, ж.к. "Младост-1А", ул. "Сърчице" № 4</t>
  </si>
  <si>
    <t xml:space="preserve">Обучения на педагогически специалисти</t>
  </si>
  <si>
    <t xml:space="preserve">Обучение на счетоводител</t>
  </si>
  <si>
    <t xml:space="preserve">СОА19-ВК08-14491-[97]/13.11.2019</t>
  </si>
  <si>
    <t xml:space="preserve">ДЕТСКА ГРАДИНА № 76 "СЪРНИЧКА"</t>
  </si>
  <si>
    <t xml:space="preserve">ж.к. "Младост 4", ул. "Детска мечта" № 20</t>
  </si>
  <si>
    <t xml:space="preserve">000676224</t>
  </si>
  <si>
    <t xml:space="preserve">0884801640</t>
  </si>
  <si>
    <t xml:space="preserve">odz76@abv.bg</t>
  </si>
  <si>
    <t xml:space="preserve">dg76.bg</t>
  </si>
  <si>
    <t xml:space="preserve">Петя Трифонова Янкова</t>
  </si>
  <si>
    <t xml:space="preserve">№21/17.09.1996г.-Сграда 1 , №2364/31.05.2018г. - Сграда 2</t>
  </si>
  <si>
    <t xml:space="preserve">ж.к. "Младост 4", ул. "Детска мечта" № 22</t>
  </si>
  <si>
    <t xml:space="preserve">„Подготовка  и обучение на децата и персонала в детската градина за безопасно поведение при бедствия“</t>
  </si>
  <si>
    <t xml:space="preserve">"Влиянието на технологиите и съвременните средства за комуникация върху развитието на децата"</t>
  </si>
  <si>
    <t xml:space="preserve">СОА19-ВК08-14491-[77]/13.11.2019</t>
  </si>
  <si>
    <t xml:space="preserve">ДЕТСКА ГРАДИНА № 77 "МАГНОЛИЯ"</t>
  </si>
  <si>
    <t xml:space="preserve">ул. "Мизия" № 6 </t>
  </si>
  <si>
    <t xml:space="preserve">000666625</t>
  </si>
  <si>
    <t xml:space="preserve">0884801401</t>
  </si>
  <si>
    <t xml:space="preserve">direktor@cdg77-magnolia.com</t>
  </si>
  <si>
    <t xml:space="preserve">cdg77-magnolia.com</t>
  </si>
  <si>
    <t xml:space="preserve">Стефка Димитрова Рабаджиева</t>
  </si>
  <si>
    <t xml:space="preserve">№ 2 от 11.07.1952 година</t>
  </si>
  <si>
    <t xml:space="preserve">гр. София, ул. "Мизия" № 6, тел. 02/944 17 22</t>
  </si>
  <si>
    <t xml:space="preserve">„Здравословно хранене и спорт - предпоставка за добро здраве“</t>
  </si>
  <si>
    <t xml:space="preserve">„Ценностно ориентирано образование и възпитание в детската градина за постигане на толерантност във взаимоотношенията в детския колектив и изграждане на култура на поведение в обществото“</t>
  </si>
  <si>
    <t xml:space="preserve">„Техники за създаване на благоприятен психологически климат на взаимодействие в педагогическите екипи, техники за екипна работа за постигане на общи стратегически цели“</t>
  </si>
  <si>
    <t xml:space="preserve">„Повишаване на административния капацитет при работа с деца“</t>
  </si>
  <si>
    <t xml:space="preserve">СОА19-ВК08-14491-[38]/12.11.2019</t>
  </si>
  <si>
    <t xml:space="preserve">ДЕТСКА ГРАДИНА № 78 "ДЕТСКИ СВЯТ"</t>
  </si>
  <si>
    <t xml:space="preserve">ж.к. "Дървеница", ул. "Айдемир" № 4</t>
  </si>
  <si>
    <t xml:space="preserve">000676523</t>
  </si>
  <si>
    <t xml:space="preserve">0884801654</t>
  </si>
  <si>
    <t xml:space="preserve">odz_78@abv.bg</t>
  </si>
  <si>
    <t xml:space="preserve">dg78detskisvqt.com</t>
  </si>
  <si>
    <t xml:space="preserve">Светла Петрова Кенанова</t>
  </si>
  <si>
    <t xml:space="preserve">318 /13.05.1998 г.</t>
  </si>
  <si>
    <t xml:space="preserve">ПМС № 129</t>
  </si>
  <si>
    <t xml:space="preserve">Проект BG05M2OP001-3.005-0004 "Активно приобщаване в системата на предучилищното образование"</t>
  </si>
  <si>
    <t xml:space="preserve">Обучителен семинар - директор "Методи и техники за ефективно включване на родителите и семейството в системата на предучилищното и училищното образование"</t>
  </si>
  <si>
    <t xml:space="preserve">Обучение "Атестация, Наредба № 15, Професионалното портфолио ,успешно оценяване и самооценяване"</t>
  </si>
  <si>
    <t xml:space="preserve">Обучение "Скрининг тест за деца от 3 г. до 3 г. 6 м."</t>
  </si>
  <si>
    <t xml:space="preserve">СОА19-ВК08-14491-[82]/13.11.2019</t>
  </si>
  <si>
    <t xml:space="preserve">ДЕТСКА ГРАДИНА № 79 "СЛЪНЧИЦЕ"</t>
  </si>
  <si>
    <t xml:space="preserve">ул. "Джон Ленън" № 10 </t>
  </si>
  <si>
    <t xml:space="preserve">000676530</t>
  </si>
  <si>
    <t xml:space="preserve">02/8 68 21 49</t>
  </si>
  <si>
    <t xml:space="preserve">dg_79@abv.bg</t>
  </si>
  <si>
    <t xml:space="preserve">odz79.net</t>
  </si>
  <si>
    <t xml:space="preserve">Елеонора Георгиева Стоименова</t>
  </si>
  <si>
    <t xml:space="preserve">317/13.05.1998г.</t>
  </si>
  <si>
    <t xml:space="preserve">1. БДП; 2. ФВ </t>
  </si>
  <si>
    <t xml:space="preserve">1. ПМС №129 2. BG05M2OP001-2.010-0001</t>
  </si>
  <si>
    <t xml:space="preserve">По Еразъм+ : 1. № 2018-1-PL01-KA229-050669_3; 2. №2018-1-PT01-KA229-047538_4</t>
  </si>
  <si>
    <t xml:space="preserve">Външна квалификация - Работа с деца със СОП</t>
  </si>
  <si>
    <t xml:space="preserve">Външна квалификация - Работа в екип </t>
  </si>
  <si>
    <t xml:space="preserve">Външна квалификация - психолог </t>
  </si>
  <si>
    <t xml:space="preserve">СОА19-ВК08-14491-[20]/11.11.2019</t>
  </si>
  <si>
    <t xml:space="preserve">ДЕТСКА ГРАДИНА № 80 "ПРИКАЗНА КАЛИНА"</t>
  </si>
  <si>
    <t xml:space="preserve">ул. "Видлич" № 2 </t>
  </si>
  <si>
    <t xml:space="preserve">000676208</t>
  </si>
  <si>
    <t xml:space="preserve">028595017</t>
  </si>
  <si>
    <t xml:space="preserve">odz80prk@abv.bg</t>
  </si>
  <si>
    <t xml:space="preserve">www.dg80.bg</t>
  </si>
  <si>
    <t xml:space="preserve">Нина Маркова Иванова</t>
  </si>
  <si>
    <t xml:space="preserve">Акт № 788 от 22.01.2002г.</t>
  </si>
  <si>
    <t xml:space="preserve">BG05M2OP001-3.005-0004 „Активно приобщаване в системата на предучилищното образование”.</t>
  </si>
  <si>
    <t xml:space="preserve">Вътрешни квалификационни форми</t>
  </si>
  <si>
    <t xml:space="preserve">Квалификационни форми  за ПКС, по БДП,  индивидуален избор на квалифик. форми</t>
  </si>
  <si>
    <t xml:space="preserve">Квалификационни форми с присъждане на кредити</t>
  </si>
  <si>
    <t xml:space="preserve">СОА19-ВК08-14491-[119]/14.11.2019</t>
  </si>
  <si>
    <t xml:space="preserve">ДЕТСКА ГРАДИНА № 81 "ЛИЛИЯ"</t>
  </si>
  <si>
    <t xml:space="preserve">ул. "Одрин" № 62 </t>
  </si>
  <si>
    <t xml:space="preserve">000676142</t>
  </si>
  <si>
    <t xml:space="preserve">02/8221882</t>
  </si>
  <si>
    <t xml:space="preserve">odz81@abv.bg</t>
  </si>
  <si>
    <t xml:space="preserve">odz81.com</t>
  </si>
  <si>
    <t xml:space="preserve">Елена Райчева Ватрачка</t>
  </si>
  <si>
    <t xml:space="preserve">№ 298/26.10.1998 г.</t>
  </si>
  <si>
    <t xml:space="preserve">обучителен семинар директор</t>
  </si>
  <si>
    <t xml:space="preserve">обучителен семинар учители</t>
  </si>
  <si>
    <t xml:space="preserve">СОА19-ВК08-14491-[177]/18.11.2019</t>
  </si>
  <si>
    <t xml:space="preserve">ДЕТСКА ГРАДИНА № 82 "ДЖАНИ РОДАРИ"</t>
  </si>
  <si>
    <t xml:space="preserve">ж.к. "Обеля-2"</t>
  </si>
  <si>
    <t xml:space="preserve">000676231</t>
  </si>
  <si>
    <t xml:space="preserve">0884801718</t>
  </si>
  <si>
    <t xml:space="preserve">dg82@abv.bg</t>
  </si>
  <si>
    <t xml:space="preserve">https//dg-82.com</t>
  </si>
  <si>
    <t xml:space="preserve">Лидия Бучукова</t>
  </si>
  <si>
    <t xml:space="preserve">№ 15/13.12.1996 г.</t>
  </si>
  <si>
    <t xml:space="preserve">Интерактивни техники на обучението и възпитанието по БДП</t>
  </si>
  <si>
    <t xml:space="preserve">Коучинг в образованието</t>
  </si>
  <si>
    <t xml:space="preserve">СОА19-ВК08-14491-[114]/14.11.2019</t>
  </si>
  <si>
    <t xml:space="preserve">ДЕТСКА ГРАДИНА № 83 "СЛАВЕЙЧЕ"</t>
  </si>
  <si>
    <t xml:space="preserve">кв. "Илиенци", ул. "Фикус" № 2</t>
  </si>
  <si>
    <t xml:space="preserve">000666739</t>
  </si>
  <si>
    <t xml:space="preserve">02 838 10 21</t>
  </si>
  <si>
    <t xml:space="preserve">odz83@abv.bg</t>
  </si>
  <si>
    <t xml:space="preserve">Диана Рангелова Трифонова- Танчева</t>
  </si>
  <si>
    <t xml:space="preserve">№ 1960 / 24.09.2012</t>
  </si>
  <si>
    <t xml:space="preserve">кв. "Илиенци", ул. "Фикус" № 2; тел. 02 838 10 21</t>
  </si>
  <si>
    <t xml:space="preserve">кв. "Требич", ул. "Леденика" № 12; тел. 02 938 27 51</t>
  </si>
  <si>
    <t xml:space="preserve">Първа долекарска помощ (ЦОИ - София)</t>
  </si>
  <si>
    <t xml:space="preserve">Иновативна ДГ (ПРОТЕКТА)</t>
  </si>
  <si>
    <t xml:space="preserve">БДП (ДИДАСКО, ЦПО)</t>
  </si>
  <si>
    <t xml:space="preserve">СОА19-ВК08-14491-[40]/12.11.2019</t>
  </si>
  <si>
    <t xml:space="preserve">ДЕТСКА ГРАДИНА № 84 "ДЕТЕЛИНА"</t>
  </si>
  <si>
    <t xml:space="preserve">ж.к. "Овча купел-2", кв. 5, ул. "Детелина" № 1 </t>
  </si>
  <si>
    <t xml:space="preserve">000677116</t>
  </si>
  <si>
    <t xml:space="preserve">0884801679</t>
  </si>
  <si>
    <t xml:space="preserve">odz_84@abv.bg</t>
  </si>
  <si>
    <t xml:space="preserve">https://84dgdetelina.com</t>
  </si>
  <si>
    <t xml:space="preserve">Нели Николова</t>
  </si>
  <si>
    <t xml:space="preserve">№ 844/27.10.2000 г.</t>
  </si>
  <si>
    <t xml:space="preserve">гр. София, п.к. 1632, район "Овча купел", ул. "Детелина" № 1</t>
  </si>
  <si>
    <t xml:space="preserve">Изграждане на ключови компетенции на педагогически специалисти</t>
  </si>
  <si>
    <t xml:space="preserve">Управление на качеството в образователната институция – същност, принципи, цели, изисквания, реализация. Самооценяване.“</t>
  </si>
  <si>
    <t xml:space="preserve">СОА19-ВК08-14491-[158]/18.11.2019</t>
  </si>
  <si>
    <t xml:space="preserve">ДЕТСКА ГРАДИНА № 85 "РОДИНА"</t>
  </si>
  <si>
    <t xml:space="preserve">ул. "Дамян Груев" № 44 </t>
  </si>
  <si>
    <t xml:space="preserve">000666696</t>
  </si>
  <si>
    <t xml:space="preserve">029521048</t>
  </si>
  <si>
    <t xml:space="preserve">cdg85@abv.bg</t>
  </si>
  <si>
    <t xml:space="preserve">www.dgrodina.bg</t>
  </si>
  <si>
    <t xml:space="preserve">Мария Иванова Стоянова</t>
  </si>
  <si>
    <t xml:space="preserve">№ 789/22.01.2002; № 1658/29.09.2014</t>
  </si>
  <si>
    <t xml:space="preserve">СОА19-ВК08-14491-[12]/08.11.2019</t>
  </si>
  <si>
    <t xml:space="preserve">ДЕТСКА ГРАДИНА № 86 "АСЕН БОСЕВ"</t>
  </si>
  <si>
    <t xml:space="preserve">ж.к. "Люлин-10", ул. "Тома Давидов" № 44</t>
  </si>
  <si>
    <t xml:space="preserve">000677550</t>
  </si>
  <si>
    <t xml:space="preserve">02/8261119</t>
  </si>
  <si>
    <t xml:space="preserve">odz86lulin@abv.bg</t>
  </si>
  <si>
    <t xml:space="preserve">www.dg86-asenbosev.com</t>
  </si>
  <si>
    <t xml:space="preserve">Даниела Иванова Блатечка</t>
  </si>
  <si>
    <t xml:space="preserve">8850/24.06.2014 г.</t>
  </si>
  <si>
    <t xml:space="preserve">1." С обич за София" СО, дирекция "ПИСТ"; 2. Кът за игри "ПУДООС"</t>
  </si>
  <si>
    <t xml:space="preserve">вътрешно-институционална - семинари- 37 служители </t>
  </si>
  <si>
    <t xml:space="preserve">външно-институционална- семинари- 18 служители</t>
  </si>
  <si>
    <t xml:space="preserve">вътрешно-институционална - практикум- 18 бр.</t>
  </si>
  <si>
    <t xml:space="preserve">СОА19-ВК08-14491-[204]/26.11.2019</t>
  </si>
  <si>
    <t xml:space="preserve">ДЕТСКА ГРАДИНА № 87 "БУКАТА"</t>
  </si>
  <si>
    <t xml:space="preserve">ул. "Цар Петър I" № 5 </t>
  </si>
  <si>
    <t xml:space="preserve">000677109</t>
  </si>
  <si>
    <t xml:space="preserve">029543064, 029526804</t>
  </si>
  <si>
    <t xml:space="preserve">kg.bukata@gmail.com</t>
  </si>
  <si>
    <t xml:space="preserve">https://www.kgbukata.bg/</t>
  </si>
  <si>
    <t xml:space="preserve">АЛБЕНА ПЕТРОВА ИВАНОВА</t>
  </si>
  <si>
    <t xml:space="preserve">348/18,03,1998 Г.</t>
  </si>
  <si>
    <t xml:space="preserve">Централна сграда: ул. "Цар Петър" № 5, тел. 02/9526804</t>
  </si>
  <si>
    <t xml:space="preserve">Филиал Тунджа: ул. "Тунджа" № 33, тел. 02/9523340</t>
  </si>
  <si>
    <t xml:space="preserve">Филиал Христо Ботев: бул. "Христо Ботев" № 14, тел. 02/9542682</t>
  </si>
  <si>
    <t xml:space="preserve">1. училищен плод  2. училищно мляко</t>
  </si>
  <si>
    <t xml:space="preserve">Стратегия за справяне със синдрома "Бърнауд"</t>
  </si>
  <si>
    <t xml:space="preserve">СОА19-ВК08-14491-[163]/18.11.2019</t>
  </si>
  <si>
    <t xml:space="preserve">ДЕТСКА ГРАДИНА № 88 "ДЕТСКИ РАЙ"</t>
  </si>
  <si>
    <t xml:space="preserve">ж.к. "Дружба-2"</t>
  </si>
  <si>
    <t xml:space="preserve">000666721</t>
  </si>
  <si>
    <t xml:space="preserve">02 978 82 32; 0884801616</t>
  </si>
  <si>
    <t xml:space="preserve">odz88@abv.bg</t>
  </si>
  <si>
    <t xml:space="preserve">www.odz88.com</t>
  </si>
  <si>
    <t xml:space="preserve">Мария Цветкова Йорданова</t>
  </si>
  <si>
    <t xml:space="preserve">2216/03.08.2018г.</t>
  </si>
  <si>
    <t xml:space="preserve">ж.к. ,,Дружба-2", ул. ,,Димитър Пешев" № 21</t>
  </si>
  <si>
    <t xml:space="preserve">Планиране и организация на квал. д-ст. Атестиране на пед. специалисти</t>
  </si>
  <si>
    <t xml:space="preserve">Ефективни техники за комуникация и работа с родителите. Взаимодействие семейство-образователна институция</t>
  </si>
  <si>
    <t xml:space="preserve">СОА19-ВК08-14491-[217]/13.12.2019</t>
  </si>
  <si>
    <t xml:space="preserve">ДЕТСКА ГРАДИНА № 89 "ШАРЕНА ДЪГА"</t>
  </si>
  <si>
    <t xml:space="preserve">кв. "Враждебна", ул. "27-ма" № 3 </t>
  </si>
  <si>
    <t xml:space="preserve">000673064</t>
  </si>
  <si>
    <t xml:space="preserve">02/8406335</t>
  </si>
  <si>
    <t xml:space="preserve">odz_45@abv.bg</t>
  </si>
  <si>
    <t xml:space="preserve">Жечка Георгиева Берова-Михалева</t>
  </si>
  <si>
    <t xml:space="preserve">кв. "Враждебна", ул. "27-ма" № 3; тел. 02/8406335 </t>
  </si>
  <si>
    <t xml:space="preserve">Интерактивни методи и техники за обр. взаимодействие</t>
  </si>
  <si>
    <t xml:space="preserve">Готовност на децата за училище</t>
  </si>
  <si>
    <t xml:space="preserve">СОА19-ВК08-14491-[108]/14.11.2019</t>
  </si>
  <si>
    <t xml:space="preserve">ДЕТСКА ГРАДИНА № 90 "ВЕСА ПАСПАЛЕЕВА"</t>
  </si>
  <si>
    <t xml:space="preserve">ул. "Иван Момчилов" № 44</t>
  </si>
  <si>
    <t xml:space="preserve">000673349</t>
  </si>
  <si>
    <t xml:space="preserve">02/9360464</t>
  </si>
  <si>
    <t xml:space="preserve">dg90@abv.bg</t>
  </si>
  <si>
    <t xml:space="preserve">90.dgradina.eu</t>
  </si>
  <si>
    <t xml:space="preserve">Катя Йорданова Йорданова - Радкова</t>
  </si>
  <si>
    <t xml:space="preserve">Акт № 2072/01.04.2013 г. (за сградите на ул. "Иван Момчилов" № 44);
Акт № 118/19.03.1997 г. (за филиал ул. "Бял люляк")</t>
  </si>
  <si>
    <t xml:space="preserve">Сграда 1 на ул. "Иван Момчилов" 44; 
тел: 02/9382918  </t>
  </si>
  <si>
    <t xml:space="preserve">Сграда 2 на ул. "Иван Момчилов" 44; 
тел: 02/9382856; 02/9360464</t>
  </si>
  <si>
    <t xml:space="preserve">филиал "Бял люляк" 19: гр. София, 
 ж.к. "Надежда-4", ул. "Бял люляк" № 19; тел: 02/9382894</t>
  </si>
  <si>
    <t xml:space="preserve">1. "Успяваме заедно"; 2. Приятели на колела"; 3. "С мъдрост толеантност и игри, заедно ще бъдем 
по-добри";</t>
  </si>
  <si>
    <t xml:space="preserve">1. НП "Диференцирано заплащане";  2. НП "Успяваме заедно"; </t>
  </si>
  <si>
    <t xml:space="preserve">1. "Активно приобщаване в системата на предучилищното образование"</t>
  </si>
  <si>
    <t xml:space="preserve">"Трудови правоотношения в детските градини. Съдържание, форма и сключване
 на трудови договори. Прекратяване на трудови договори. Обезщетения"</t>
  </si>
  <si>
    <t xml:space="preserve">"Обучение по професионално направление: „Помощник възпитател в отглеждането и възпитанието на деца"</t>
  </si>
  <si>
    <t xml:space="preserve">"Атестиране на педагогическите специалисти-практически насоки за успешно оценяване и самооценяване. Оценка на труда и формиране на работната заплата"</t>
  </si>
  <si>
    <t xml:space="preserve">СОА19-ВК08-14491-[127]/14.11.2019</t>
  </si>
  <si>
    <t xml:space="preserve">ДЕТСКА ГРАДИНА № 91 "СЛЪНЧЕВ КЪТ"</t>
  </si>
  <si>
    <t xml:space="preserve">кв. "Левски-Г" </t>
  </si>
  <si>
    <t xml:space="preserve">000666746</t>
  </si>
  <si>
    <t xml:space="preserve">02/9466143</t>
  </si>
  <si>
    <t xml:space="preserve">dg_91@abv.bg</t>
  </si>
  <si>
    <t xml:space="preserve">www.odz91.com</t>
  </si>
  <si>
    <t xml:space="preserve">Таня Кечева</t>
  </si>
  <si>
    <t xml:space="preserve">0186-26.04.2004</t>
  </si>
  <si>
    <t xml:space="preserve">СОА19-ВК08-14491-[75]/13.11.2019</t>
  </si>
  <si>
    <t xml:space="preserve">ДЕТСКА ГРАДИНА № 92 "МЕЧТА"</t>
  </si>
  <si>
    <t xml:space="preserve">ж.к. "Левски-Г", ул. "Поручик Георги Кюмюрджиев" № 2 </t>
  </si>
  <si>
    <t xml:space="preserve">121009135</t>
  </si>
  <si>
    <t xml:space="preserve">0887002644</t>
  </si>
  <si>
    <t xml:space="preserve">odz_92@abv.bg</t>
  </si>
  <si>
    <t xml:space="preserve">www.odz92.com</t>
  </si>
  <si>
    <t xml:space="preserve">ДЕСИСЛАВА АНГЕЛОВА НИКОЛОВА</t>
  </si>
  <si>
    <t xml:space="preserve">ж.к. "Левски-Г", ул. "Поручик Георги Кюмюрджиев" № 2; 
тел. 02/946-6100</t>
  </si>
  <si>
    <t xml:space="preserve">кв. "Левски-В", ул. "Ген. Инзов" № 44; тел. 02/946-7719</t>
  </si>
  <si>
    <t xml:space="preserve">СОА19-ВК08-14491-[72]/13.11.2019</t>
  </si>
  <si>
    <t xml:space="preserve">ДЕТСКА ГРАДИНА № 93 "ЧУДЕН СВЯТ"</t>
  </si>
  <si>
    <t xml:space="preserve">ул. "Дебър" № 16-22 </t>
  </si>
  <si>
    <t xml:space="preserve">000674312</t>
  </si>
  <si>
    <t xml:space="preserve">02/856-28-69</t>
  </si>
  <si>
    <t xml:space="preserve">odz93@abv.bg</t>
  </si>
  <si>
    <t xml:space="preserve">dg93.bg</t>
  </si>
  <si>
    <t xml:space="preserve">Мая Иванова Николова</t>
  </si>
  <si>
    <t xml:space="preserve">централа (ул. "Дебър" № 22) - № 1660/ 09.10.2014 г.; 
филиал (ул. "Хубча" бл. 195) - № 1607/10.10.2012 г.; 
яслен блок (ул. "Дебър" № 16) - № 599/09.07.2000 г.</t>
  </si>
  <si>
    <t xml:space="preserve">ул. "Дебър" № 22</t>
  </si>
  <si>
    <t xml:space="preserve">ул. "Хубча" бл. 195</t>
  </si>
  <si>
    <t xml:space="preserve">ул. "Дебър" № 16</t>
  </si>
  <si>
    <t xml:space="preserve">Квалификация и професионално развитие на педагогическите специалисти</t>
  </si>
  <si>
    <t xml:space="preserve">семинари</t>
  </si>
  <si>
    <t xml:space="preserve">СОА19-ВК08-14491-[89]/13.11.2019</t>
  </si>
  <si>
    <t xml:space="preserve">ДЕТСКА ГРАДИНА № 94 "ДЕТСКИ СВЯТ"</t>
  </si>
  <si>
    <t xml:space="preserve">гр. Бухово</t>
  </si>
  <si>
    <t xml:space="preserve">ул. "Никола Бонев" № 6 </t>
  </si>
  <si>
    <t xml:space="preserve">000666073</t>
  </si>
  <si>
    <t xml:space="preserve">029942300   0884801740</t>
  </si>
  <si>
    <t xml:space="preserve">dg94@abv.bg</t>
  </si>
  <si>
    <t xml:space="preserve">odz-buhovo.com</t>
  </si>
  <si>
    <t xml:space="preserve">Нели Икономова Мирчева</t>
  </si>
  <si>
    <t xml:space="preserve">№ 257 от 15.01.1988 г.</t>
  </si>
  <si>
    <t xml:space="preserve">Семинари,проведени от оторизирани организации -педаг.персонал</t>
  </si>
  <si>
    <t xml:space="preserve">Семинар за амортизации и новости в трудовото право</t>
  </si>
  <si>
    <t xml:space="preserve">Курс за придобиване квалификация помощ.възпитател</t>
  </si>
  <si>
    <t xml:space="preserve">СОА19-ВК08-14491-[181]/18.11.2019</t>
  </si>
  <si>
    <t xml:space="preserve">ДЕТСКА ГРАДИНА № 95 "ОМАЙНИЧЕ"</t>
  </si>
  <si>
    <t xml:space="preserve">ул. "Тома Давидов" № 3 </t>
  </si>
  <si>
    <t xml:space="preserve">175418751</t>
  </si>
  <si>
    <t xml:space="preserve">02/ 927-74-55</t>
  </si>
  <si>
    <t xml:space="preserve">odz95box@gmail.com</t>
  </si>
  <si>
    <t xml:space="preserve">Мая Михайлова Гергова</t>
  </si>
  <si>
    <t xml:space="preserve">№ 8290 / 15.07.2013 г.</t>
  </si>
  <si>
    <t xml:space="preserve">ж.к. "Люлин", ул. "Тома Давидов" № 3</t>
  </si>
  <si>
    <t xml:space="preserve">"Емпатия в приобщаващото образование "</t>
  </si>
  <si>
    <t xml:space="preserve">"Методика за обучение на децата и учениците по БДП"</t>
  </si>
  <si>
    <t xml:space="preserve">Възпитание и обучение на децата за безопасно поведение на пътя-актуалност и тенденции</t>
  </si>
  <si>
    <t xml:space="preserve">СОА19-УЗ21-1963/18.11.2019 г.</t>
  </si>
  <si>
    <t xml:space="preserve">ДЕТСКА ГРАДИНА № 96 "РОСНА КИТКА"</t>
  </si>
  <si>
    <t xml:space="preserve">ж.к. "Дружба-1", ул. "Полковник Чудомир Топлодолски"</t>
  </si>
  <si>
    <t xml:space="preserve">000673071</t>
  </si>
  <si>
    <t xml:space="preserve">0884801610</t>
  </si>
  <si>
    <t xml:space="preserve">odz96@abv.bg</t>
  </si>
  <si>
    <t xml:space="preserve">rosna-kitka.eu</t>
  </si>
  <si>
    <t xml:space="preserve">Татяна Иванова Радева</t>
  </si>
  <si>
    <t xml:space="preserve">Изграждане на учебна площадка по БДП"Аз се движа безопосно"</t>
  </si>
  <si>
    <t xml:space="preserve">Отговорности и задължения на материално отговорни лица. Инвентаризация.</t>
  </si>
  <si>
    <t xml:space="preserve">Уършоп</t>
  </si>
  <si>
    <t xml:space="preserve">Професионално учителско и детско портфолио</t>
  </si>
  <si>
    <t xml:space="preserve">СОА19-ВК08-14491-[63]/12.11.2019</t>
  </si>
  <si>
    <t xml:space="preserve">ДЕТСКА ГРАДИНА № 97 "ИЗГРЕВ"</t>
  </si>
  <si>
    <t xml:space="preserve">с. Лозен</t>
  </si>
  <si>
    <t xml:space="preserve">ул. "Янко Панайотов" № 29</t>
  </si>
  <si>
    <t xml:space="preserve">000674209</t>
  </si>
  <si>
    <t xml:space="preserve">029926304</t>
  </si>
  <si>
    <t xml:space="preserve">odz97@mail.bg</t>
  </si>
  <si>
    <t xml:space="preserve">www.dg97-izgrev.com</t>
  </si>
  <si>
    <t xml:space="preserve">Снежана Асенова Банова</t>
  </si>
  <si>
    <t xml:space="preserve">Акт № 4863/18.07.2014 г.; Акт № 5059/02.02.2015 г.; Акт № 5060/02.02.2015 г.</t>
  </si>
  <si>
    <t xml:space="preserve">с. Лозен, ул. "Янко Панайотов" № 29, тел. 02/9926304</t>
  </si>
  <si>
    <t xml:space="preserve">с. Лозен, ул. "Светлина" № 2, тел. 02/9926544</t>
  </si>
  <si>
    <t xml:space="preserve">Обучения</t>
  </si>
  <si>
    <t xml:space="preserve">СОА19-ВК08-14491-[85]/13.11.2019</t>
  </si>
  <si>
    <t xml:space="preserve">ДЕТСКА ГРАДИНА № 98 "СЛЪНЧЕВО ЗАЙЧЕ"</t>
  </si>
  <si>
    <t xml:space="preserve">ж.к. "Младост" - 2, ул. "Слънчево зайче" № 9</t>
  </si>
  <si>
    <t xml:space="preserve">175814252</t>
  </si>
  <si>
    <t xml:space="preserve">02/885 37 32 </t>
  </si>
  <si>
    <t xml:space="preserve">odz98director@abv.bg</t>
  </si>
  <si>
    <t xml:space="preserve">www.odz98bg.com</t>
  </si>
  <si>
    <t xml:space="preserve">Жанин Костадинова Траянова - Ценова</t>
  </si>
  <si>
    <t xml:space="preserve">№ АОС1625/ 16.06.2009 г.</t>
  </si>
  <si>
    <t xml:space="preserve">София 1799, ж.к. "Младост" - 2, ул. "Слънчево зайче" № 9,
тел. 02/885 37 32 </t>
  </si>
  <si>
    <t xml:space="preserve">"Активно приобщаване в систематан на предучилищното образование"</t>
  </si>
  <si>
    <t xml:space="preserve">Обучителен курс</t>
  </si>
  <si>
    <t xml:space="preserve">СОА19-ВК08-14491-[25]/11.11.2019</t>
  </si>
  <si>
    <t xml:space="preserve">ДЕТСКА ГРАДИНА № 99 "БРЕЗИЧКА"</t>
  </si>
  <si>
    <t xml:space="preserve">ул. "Битоля" № 27 </t>
  </si>
  <si>
    <t xml:space="preserve">000666803</t>
  </si>
  <si>
    <t xml:space="preserve">0888486157,0888820510</t>
  </si>
  <si>
    <t xml:space="preserve">brezichka99@abv.bg</t>
  </si>
  <si>
    <t xml:space="preserve">brezichka.com</t>
  </si>
  <si>
    <t xml:space="preserve">ИВАНКА ПЕТРОВА ХАРБАЛИЕВА</t>
  </si>
  <si>
    <t xml:space="preserve">централна - 790/22.01.2002 г. 
БЛ.1 - № 514/03.12.1999
БЛ.4 - № 1129/27.01.2004
Бл.6 - № 1130/27.01.2004
Бл.23 - № 516/03.12.1999
Бл.31 - № 518/06.12.1999</t>
  </si>
  <si>
    <t xml:space="preserve">ж.к"Бели брези"бл.1</t>
  </si>
  <si>
    <t xml:space="preserve">ж.к"Бели брези"бл.4</t>
  </si>
  <si>
    <t xml:space="preserve">ж.к"Бели брези"бл.6</t>
  </si>
  <si>
    <t xml:space="preserve">ж.к"Бели брези"бл.23</t>
  </si>
  <si>
    <t xml:space="preserve">ж.к"Бели брези"бл.31</t>
  </si>
  <si>
    <t xml:space="preserve">В Брезичка обичаме да спортуваме</t>
  </si>
  <si>
    <t xml:space="preserve">1.Национална програма успяваме заедно 2.Национална програма "Информационни и комуникационни технологии" 3. Национална програма "Квалификация за професионалното развитие на педагогическите специалисти" 4.Проект "Приобщаващо образование"</t>
  </si>
  <si>
    <t xml:space="preserve">"Еразъм+"сред прирадата Аз знам, аз мога, аз съм здрав</t>
  </si>
  <si>
    <t xml:space="preserve">ДАК</t>
  </si>
  <si>
    <t xml:space="preserve">СОА19-ВК08-14491-[86]/13.11.2019</t>
  </si>
  <si>
    <t xml:space="preserve">ДЕТСКА ГРАДИНА № 100 "АКАД. ПЕНЧО Н. РАЙКОВ"</t>
  </si>
  <si>
    <t xml:space="preserve">"Оборище"</t>
  </si>
  <si>
    <t xml:space="preserve">ул. "Велико Търново" № 2 </t>
  </si>
  <si>
    <t xml:space="preserve">000666810</t>
  </si>
  <si>
    <t xml:space="preserve">02/944 25 16</t>
  </si>
  <si>
    <t xml:space="preserve">n.preslavska@abv.bg</t>
  </si>
  <si>
    <t xml:space="preserve">dg-100.org</t>
  </si>
  <si>
    <t xml:space="preserve">Наталия Николова Преславска</t>
  </si>
  <si>
    <t xml:space="preserve">№ 555/11.05.2001, № 1131/06.11.2013, № 960/20.04.2011</t>
  </si>
  <si>
    <t xml:space="preserve">ул. "Велико Търново" № 2, 02/944 25 16</t>
  </si>
  <si>
    <t xml:space="preserve">ул. "Велико Търново" № 4, 02/944 11 35</t>
  </si>
  <si>
    <t xml:space="preserve">ул. "Марин Дринов" № 11, 02/944 20 40</t>
  </si>
  <si>
    <t xml:space="preserve">Атестирането - неизбежно и безопасно</t>
  </si>
  <si>
    <t xml:space="preserve">СОА19-ВК08-14491-[218]/13.12.2019</t>
  </si>
  <si>
    <t xml:space="preserve">ДЕТСКА ГРАДИНА № 101 "ЯБЪЛКОВА ГРАДИНА"</t>
  </si>
  <si>
    <t xml:space="preserve">ул. "Фортов път" № 2</t>
  </si>
  <si>
    <t xml:space="preserve">000666116</t>
  </si>
  <si>
    <t xml:space="preserve">02/8244 877</t>
  </si>
  <si>
    <t xml:space="preserve">odz101@abv.bg; cdg_1@abv.bg</t>
  </si>
  <si>
    <t xml:space="preserve">odz101.bg</t>
  </si>
  <si>
    <t xml:space="preserve">Антоанета Николова Хаджийска</t>
  </si>
  <si>
    <t xml:space="preserve">№ 7938/19.09.2012 г.</t>
  </si>
  <si>
    <t xml:space="preserve">Лекция "Децата от аутистичния спектър в общообразователната среда - специфика и успешно приобщаване"</t>
  </si>
  <si>
    <t xml:space="preserve">Дискусионен форум "Интерактивни форми на взаимодействие детска градина/ семейство - позитивно сътрудничество с родителите"</t>
  </si>
  <si>
    <t xml:space="preserve">Лекция с практикум "Портфолио на учителя и детето. Самооценка и атестация в образованието"</t>
  </si>
  <si>
    <t xml:space="preserve">СОА19-ВК08-14491-[214]/11.12.2019</t>
  </si>
  <si>
    <t xml:space="preserve">ДЕТСКА ГРАДИНА № 102 "КРЕМЕНИЦА"</t>
  </si>
  <si>
    <t xml:space="preserve">гр. Нови Искър </t>
  </si>
  <si>
    <t xml:space="preserve">"Нови Искър"</t>
  </si>
  <si>
    <t xml:space="preserve">кв. "Курило", ул. "Кременица" № 18</t>
  </si>
  <si>
    <t xml:space="preserve">000675204</t>
  </si>
  <si>
    <t xml:space="preserve">0884801727</t>
  </si>
  <si>
    <t xml:space="preserve">cdg2_krem@abv.bg</t>
  </si>
  <si>
    <t xml:space="preserve">Красимира Виденова Стоянова</t>
  </si>
  <si>
    <t xml:space="preserve">483/16.12.1996 г.</t>
  </si>
  <si>
    <t xml:space="preserve">гр. Нови Искър, кв. "Курило", ул. "Кременица" № 18; 
тел. 0884801727 </t>
  </si>
  <si>
    <t xml:space="preserve">гр. Нови Искър, кв. "Гниляне", ул. "Просвета" № 1; 
тел. 0879042874</t>
  </si>
  <si>
    <t xml:space="preserve">с. Кътина, ул. "Христо Ботев" № 28; тел. 0879042873</t>
  </si>
  <si>
    <t xml:space="preserve">ПроектBG05M20P001-.005-0004"Активно приобщаване в системата на предучилищното образование"</t>
  </si>
  <si>
    <t xml:space="preserve">"Обучение по Дигитални умения  и ИКТ"</t>
  </si>
  <si>
    <t xml:space="preserve">„Професионално портфолио на учителя и атестиране на педагогическите специалисти”</t>
  </si>
  <si>
    <t xml:space="preserve">„Трудови правоотношения в детските градини. Съдържание, форма и сключване на трудови договори. </t>
  </si>
  <si>
    <t xml:space="preserve">27.11.2019 г.</t>
  </si>
  <si>
    <t xml:space="preserve">СОА19-ВК08-14491-[157]/18.11.2019</t>
  </si>
  <si>
    <t xml:space="preserve">ДЕТСКА ГРАДИНА № 103 "ПАТИЛАНСКО ЦАРСТВО"</t>
  </si>
  <si>
    <t xml:space="preserve">ул. "Гинци" №16</t>
  </si>
  <si>
    <t xml:space="preserve">000673609</t>
  </si>
  <si>
    <t xml:space="preserve">02/945 31 55</t>
  </si>
  <si>
    <t xml:space="preserve">dg103@abv.bg</t>
  </si>
  <si>
    <t xml:space="preserve">http://dg103.net/</t>
  </si>
  <si>
    <t xml:space="preserve">Венелина Валериева Шпицер</t>
  </si>
  <si>
    <t xml:space="preserve">14/23.10.1996</t>
  </si>
  <si>
    <t xml:space="preserve">"Практически модели за справяне с проблемното поведение на деца"</t>
  </si>
  <si>
    <t xml:space="preserve">"Безопасност на движението по пътищата"</t>
  </si>
  <si>
    <t xml:space="preserve">Психофизиологични и неврофизиологични подходи за откриване на биомаркери при деца и юноши от аутистичния спектър, чрез изследване на зрителното възприятие</t>
  </si>
  <si>
    <t xml:space="preserve">СОА19-ВК08-14491-[178]/18.11.2019</t>
  </si>
  <si>
    <t xml:space="preserve">ДЕТСКА ГРАДИНА № 104 "МОЯТ СВЯТ"</t>
  </si>
  <si>
    <t xml:space="preserve">ул. "Чумерна" № 15 </t>
  </si>
  <si>
    <t xml:space="preserve">000666842</t>
  </si>
  <si>
    <t xml:space="preserve">02/983 32 75</t>
  </si>
  <si>
    <t xml:space="preserve">cdg104@abv.bg</t>
  </si>
  <si>
    <t xml:space="preserve">cdg104.info</t>
  </si>
  <si>
    <t xml:space="preserve">Румяна Илиева Точева</t>
  </si>
  <si>
    <t xml:space="preserve">5092/23.05.1963 г., 669/02.09.2002 г., 1058/10.07.2012 г.</t>
  </si>
  <si>
    <t xml:space="preserve">ул. "Чумерна" № 15, тел. 02/983 32 75</t>
  </si>
  <si>
    <t xml:space="preserve">ул. "Цар Симеон" № 5, тел. 02/983 37 84</t>
  </si>
  <si>
    <t xml:space="preserve">ул. "Веслец" № 31, тел. 02/943 14 13</t>
  </si>
  <si>
    <t xml:space="preserve">ул. "Веслец" № 38</t>
  </si>
  <si>
    <t xml:space="preserve">СОА19-ВК08-14491-[130]/14.11.2019</t>
  </si>
  <si>
    <t xml:space="preserve">ДЕТСКА ГРАДИНА № 105 "РАКЕТА"</t>
  </si>
  <si>
    <t xml:space="preserve">ул. "Емануил Васкидович" № 40 </t>
  </si>
  <si>
    <t xml:space="preserve">000673623</t>
  </si>
  <si>
    <t xml:space="preserve">02/9450593; 02/9450453</t>
  </si>
  <si>
    <t xml:space="preserve">odz5@abv.bg</t>
  </si>
  <si>
    <t xml:space="preserve">dg105-raketa.com</t>
  </si>
  <si>
    <t xml:space="preserve">Йорданка Милчева Манова</t>
  </si>
  <si>
    <t xml:space="preserve">№0008/22.10.1996г.</t>
  </si>
  <si>
    <t xml:space="preserve">ул. "Емануил Васкидович" № 40; тел. 0879806142</t>
  </si>
  <si>
    <t xml:space="preserve">Теории и практики в светлинта на новостите в системат на предучилищното образование </t>
  </si>
  <si>
    <t xml:space="preserve">Методика на обучението на децата по безопасност на движението по пътищата</t>
  </si>
  <si>
    <t xml:space="preserve">СОА19-ВК08-14491-[96]/13.11.2019</t>
  </si>
  <si>
    <t xml:space="preserve">ДЕТСКА ГРАДИНА № 106 "КНЯГИНЯ МАРИЯ-ЛУИЗА"</t>
  </si>
  <si>
    <t xml:space="preserve">ул. "Родопи" № 8 </t>
  </si>
  <si>
    <t xml:space="preserve">000666856</t>
  </si>
  <si>
    <t xml:space="preserve">028310176</t>
  </si>
  <si>
    <t xml:space="preserve">cdg_106@abv.bg</t>
  </si>
  <si>
    <t xml:space="preserve">https://www.106dg.com</t>
  </si>
  <si>
    <t xml:space="preserve">Нина Георгиева Дончева</t>
  </si>
  <si>
    <t xml:space="preserve">11/22.01.1997 г.</t>
  </si>
  <si>
    <t xml:space="preserve">Скрининг тест за деца от 3 до 3 г. 6 м.</t>
  </si>
  <si>
    <t xml:space="preserve">Методи за работа с деца за управление на агресивно поведение</t>
  </si>
  <si>
    <t xml:space="preserve">СОА19-ВК08-14491-[94]/13.11.2019</t>
  </si>
  <si>
    <t xml:space="preserve">ДЕТСКА ГРАДИНА № 107 "БОН-БОН"</t>
  </si>
  <si>
    <t xml:space="preserve">ул. "Григор Пърличев" № 10 </t>
  </si>
  <si>
    <t xml:space="preserve">000666059</t>
  </si>
  <si>
    <t xml:space="preserve">0884801412</t>
  </si>
  <si>
    <t xml:space="preserve">cdg7.bg@gmail.com</t>
  </si>
  <si>
    <t xml:space="preserve">dg107</t>
  </si>
  <si>
    <t xml:space="preserve">Eлза Михайлова Иванова</t>
  </si>
  <si>
    <t xml:space="preserve">№ 95/04.08.1997 г.</t>
  </si>
  <si>
    <t xml:space="preserve">Разработване планове за подкрепа при ресурсно подпомагане</t>
  </si>
  <si>
    <t xml:space="preserve">Методи и подходи при решаване на конфликти</t>
  </si>
  <si>
    <t xml:space="preserve">Трудово право в нормативната уредба-ЗЗЛД</t>
  </si>
  <si>
    <t xml:space="preserve">СОА19-ВК08-14491-[92]/13.11.2019</t>
  </si>
  <si>
    <t xml:space="preserve">ДЕТСКА ГРАДИНА № 108 "ДЕТСКО ЦАРСТВО"</t>
  </si>
  <si>
    <t xml:space="preserve">ж.к. "Дружба-1"</t>
  </si>
  <si>
    <t xml:space="preserve">000666874</t>
  </si>
  <si>
    <t xml:space="preserve">0889611041</t>
  </si>
  <si>
    <t xml:space="preserve">dg108@abv.bg</t>
  </si>
  <si>
    <t xml:space="preserve">dg-108.com</t>
  </si>
  <si>
    <t xml:space="preserve">Надя Валентинова Йовчева</t>
  </si>
  <si>
    <t xml:space="preserve">2219/09.08.2018 г.</t>
  </si>
  <si>
    <t xml:space="preserve">ж.к. "Дружба-1", ул. "5048" № 5</t>
  </si>
  <si>
    <t xml:space="preserve">ж.к. "Дружба-1", до бл. 42</t>
  </si>
  <si>
    <t xml:space="preserve">Иновативни практики за подобряване взаимоотношенията с родителите</t>
  </si>
  <si>
    <t xml:space="preserve">СОА19-ВК08-14491-[186]/19.11.2019</t>
  </si>
  <si>
    <t xml:space="preserve">ДЕТСКА ГРАДИНА № 109 "ЗОРНИЦА"</t>
  </si>
  <si>
    <t xml:space="preserve">гр. София, ж.к. "Младост"ул. "Детска приказка"№ 4</t>
  </si>
  <si>
    <t xml:space="preserve">000673317</t>
  </si>
  <si>
    <t xml:space="preserve">0884801629</t>
  </si>
  <si>
    <t xml:space="preserve">odz9_sf@abv.bg</t>
  </si>
  <si>
    <t xml:space="preserve">Емилия Павлова Лещарова</t>
  </si>
  <si>
    <t xml:space="preserve">35/17.09.1996г.</t>
  </si>
  <si>
    <t xml:space="preserve">продължаваща</t>
  </si>
  <si>
    <t xml:space="preserve">СОА19-ВК08-14491-[95]/13.11.2019</t>
  </si>
  <si>
    <t xml:space="preserve">ДЕТСКА ГРАДИНА № 110 "СЛЪНЧЕВА МЕЧТА"</t>
  </si>
  <si>
    <t xml:space="preserve">ул. "Батуня" № 75 </t>
  </si>
  <si>
    <t xml:space="preserve">000666899</t>
  </si>
  <si>
    <t xml:space="preserve">02/945-30-19</t>
  </si>
  <si>
    <t xml:space="preserve">cdg110@abv.bg</t>
  </si>
  <si>
    <t xml:space="preserve">http://slanchevamechta.com/</t>
  </si>
  <si>
    <t xml:space="preserve">Маргарита Илиева Иванова</t>
  </si>
  <si>
    <t xml:space="preserve">№ 0007/21.10.1996 г. (сграда1); 
№ 0004/21.10.1996 г. (сграда2)</t>
  </si>
  <si>
    <t xml:space="preserve">ул. "Батуня" № 75, тел. 02/945-30-19 - сграда 1 (централа)</t>
  </si>
  <si>
    <t xml:space="preserve">ул. "Вършец" № 11а, тел.02/945-30-44 - сграда 2 (филиал)</t>
  </si>
  <si>
    <t xml:space="preserve">"Успяваме заедно"</t>
  </si>
  <si>
    <t xml:space="preserve">Работа с облачни технологии</t>
  </si>
  <si>
    <t xml:space="preserve">МБДП и ИТТ по БДП</t>
  </si>
  <si>
    <t xml:space="preserve">СОА19-УЗ21-1944/14.11.2019</t>
  </si>
  <si>
    <t xml:space="preserve">ДЕТСКА ГРАДИНА № 111 "КОРАБЧЕ"</t>
  </si>
  <si>
    <t xml:space="preserve">ул. "Кораб планина" № 42</t>
  </si>
  <si>
    <t xml:space="preserve">000666098</t>
  </si>
  <si>
    <t xml:space="preserve">028623148/ 08848001530</t>
  </si>
  <si>
    <t xml:space="preserve">cdg_11@abv.bg</t>
  </si>
  <si>
    <t xml:space="preserve">korabche.com</t>
  </si>
  <si>
    <t xml:space="preserve">Пенка Петкова Вутева</t>
  </si>
  <si>
    <t xml:space="preserve">№716/12.05.2004</t>
  </si>
  <si>
    <t xml:space="preserve">придобиване правни умения по ЕР ,защита на лични данни </t>
  </si>
  <si>
    <t xml:space="preserve">Акценти в счетоводната отчетност</t>
  </si>
  <si>
    <t xml:space="preserve">Професионално портфолио на учителя и атестация на педагогическите специалисти</t>
  </si>
  <si>
    <t xml:space="preserve">СОА19-ВК08-14491-[193]/19.11.2019</t>
  </si>
  <si>
    <t xml:space="preserve">ДЕТСКА ГРАДИНА № 112 "ДЕТСКИ СВЯТ"</t>
  </si>
  <si>
    <t xml:space="preserve">кв. "Бояна", ул. "Детски мир" № 5</t>
  </si>
  <si>
    <t xml:space="preserve">000666917</t>
  </si>
  <si>
    <t xml:space="preserve">0884 801 659</t>
  </si>
  <si>
    <t xml:space="preserve">zdg112@abv.bg</t>
  </si>
  <si>
    <t xml:space="preserve">112-dg.org</t>
  </si>
  <si>
    <t xml:space="preserve">Нели Антова Петкова</t>
  </si>
  <si>
    <t xml:space="preserve">100/01.03.1956 г.</t>
  </si>
  <si>
    <t xml:space="preserve">кв. "Бояна", ул. "Детски мир" № 5, 
тел. 02/9592933, 02/9592920, 0884 801 659</t>
  </si>
  <si>
    <t xml:space="preserve">кв. "Бояна", ул. "Боянско езеро" № 3, тел. 0884 801 659</t>
  </si>
  <si>
    <t xml:space="preserve">BG05M2OP001 - 3.005-0004 "Активно приобщаване в системата на предучилищното образование"</t>
  </si>
  <si>
    <t xml:space="preserve">продължаваща квалификация</t>
  </si>
  <si>
    <t xml:space="preserve">продължаваща квалификация </t>
  </si>
  <si>
    <t xml:space="preserve">продължаваща квалификация - "Помощник възпитател"</t>
  </si>
  <si>
    <t xml:space="preserve">СОА19-ВК08-14491-[103]/13.11.2019</t>
  </si>
  <si>
    <t xml:space="preserve">ДЕТСКА ГРАДИНА № 113 "ПРЕСПА"</t>
  </si>
  <si>
    <t xml:space="preserve">ул. "Преспа" № 3</t>
  </si>
  <si>
    <t xml:space="preserve">000666924</t>
  </si>
  <si>
    <t xml:space="preserve">0889443556</t>
  </si>
  <si>
    <t xml:space="preserve">dg113@abv.bg</t>
  </si>
  <si>
    <t xml:space="preserve">https://dg113-prespa.eu</t>
  </si>
  <si>
    <t xml:space="preserve">Миглена Методиева Филчева</t>
  </si>
  <si>
    <t xml:space="preserve">№ 028 от 23.05.1997</t>
  </si>
  <si>
    <t xml:space="preserve">ул. "Преспа" № 3, тел. 02 987 61 25</t>
  </si>
  <si>
    <t xml:space="preserve">ул. "Аспарух" № 52, тел. 0879 944 326</t>
  </si>
  <si>
    <t xml:space="preserve">"Активно приобщаване в системата на предучилищното образование" Дейност 1</t>
  </si>
  <si>
    <t xml:space="preserve">1."Интерактивни методи за формиране на екологична култура"- дискусионен форум </t>
  </si>
  <si>
    <t xml:space="preserve">2. "Технология на педагогическата ситуация" - открита практика</t>
  </si>
  <si>
    <t xml:space="preserve">3. "Работа с интерактивна бяла дъска" - открита практика</t>
  </si>
  <si>
    <t xml:space="preserve">СОА19-ВК08-14491-[126]/14.11.2019</t>
  </si>
  <si>
    <t xml:space="preserve">ДЕТСКА ГРАДИНА № 114 "СВЕТУЛКА"</t>
  </si>
  <si>
    <t xml:space="preserve">с. Световрачене</t>
  </si>
  <si>
    <t xml:space="preserve">ул. "Миладин Цветков" № 3</t>
  </si>
  <si>
    <t xml:space="preserve">000667474 </t>
  </si>
  <si>
    <t xml:space="preserve">0882399000; 0876834048; 0879459615</t>
  </si>
  <si>
    <t xml:space="preserve">naivas@abv.bg</t>
  </si>
  <si>
    <t xml:space="preserve">w.w.w.svetulka-bg.com</t>
  </si>
  <si>
    <t xml:space="preserve">Найда Василева Иванова</t>
  </si>
  <si>
    <t xml:space="preserve">1270 от 26.11.2009 г.</t>
  </si>
  <si>
    <t xml:space="preserve">с. Световрачене, ул. "Миладин Цветков", № 3</t>
  </si>
  <si>
    <t xml:space="preserve">РНД19-УЗ21-208/13.11.2019</t>
  </si>
  <si>
    <t xml:space="preserve">ДЕТСКА ГРАДИНА № 115 "ОСМИ МАРТ"</t>
  </si>
  <si>
    <t xml:space="preserve">ул. "8-ми март" № 28</t>
  </si>
  <si>
    <t xml:space="preserve">000666949 </t>
  </si>
  <si>
    <t xml:space="preserve">02/938 12 05</t>
  </si>
  <si>
    <t xml:space="preserve">cdg115@abv.bg</t>
  </si>
  <si>
    <t xml:space="preserve">Велизара Костадинова Стоименова</t>
  </si>
  <si>
    <t xml:space="preserve">№ 2603/26.02.2016 г.; № 1964/25.09.2012 г.; 
№ 2578/26.01.2012 г.</t>
  </si>
  <si>
    <t xml:space="preserve">ул. "8-ми март" № 28, тел. 02/938 13 45</t>
  </si>
  <si>
    <t xml:space="preserve">ул. "8-ми март" № 15, тел. 02/938 12 05</t>
  </si>
  <si>
    <t xml:space="preserve">ул. "Горни порой" № 2, тел. 02/938 13 69</t>
  </si>
  <si>
    <t xml:space="preserve">Директор: Велизара Костадинова Стоименова</t>
  </si>
  <si>
    <t xml:space="preserve">Педагогически персонал</t>
  </si>
  <si>
    <t xml:space="preserve">Непедагогически персонал</t>
  </si>
  <si>
    <t xml:space="preserve">СОА19-ВК08-14491-[10]/08.11.2019</t>
  </si>
  <si>
    <t xml:space="preserve">ДЕТСКА ГРАДИНА № 116 "МУСАЛА"</t>
  </si>
  <si>
    <t xml:space="preserve">кв. "Павлово", ул. "Мусала" № 7</t>
  </si>
  <si>
    <t xml:space="preserve">000666123</t>
  </si>
  <si>
    <t xml:space="preserve">028550047</t>
  </si>
  <si>
    <t xml:space="preserve">odz116@abv.bg</t>
  </si>
  <si>
    <t xml:space="preserve">http://116dg.com/</t>
  </si>
  <si>
    <t xml:space="preserve">Паулина Андреева</t>
  </si>
  <si>
    <t xml:space="preserve">АОС.№  1004/2002г.  чл.2, ал.1, т.9 н чл.З, ал.2,т.2отЗОС; АОС № 1006/2002 -чл.2, ал.1, т.9 и чл.З. ал. 2. т.2 от ЗОС ;  АОС№2935/2014г. Чл.2, ал.1т.7 , чл.3, ал.2 т.1 и чл59, ал.1 от ЗОС и Реш №324 /29.052014 СОС;                                  АОС № 15 29 /2004 чл.2, ал.1, т,9 и чл.З, ал,2. т.2 от ЗОС; АОС №  1527/2004 чл.З, ал.1, т.9 и чл.З, ал. 2, т. 2 от ЗОС;  АОС  №1528/2004г чл.2, ал.1, т.9 к чл.З. а.1,2. т,2 от ЗОС гр. София ж.к. Павлово Бъкстон бл.25</t>
  </si>
  <si>
    <t xml:space="preserve">1.  Централна сграда - гр. София, кв. "Павлово", ул. "Мусала" № 7; тел. 02/8550047</t>
  </si>
  <si>
    <t xml:space="preserve">2.  гр. София, кв. Павлово, Сграда  на  бул. "Александър Пушкин" № 2; тел. 02/8562959</t>
  </si>
  <si>
    <t xml:space="preserve">3.  Местност "Гърдова глава", Сграда на ул. "Симеон Радев" № 73А; тел. 02/8550047, GSM 0888660363</t>
  </si>
  <si>
    <t xml:space="preserve">4.  гр. София, бул. "Братя Бъкстон", бл. 45, Апартамент; тел. 02/8561009</t>
  </si>
  <si>
    <t xml:space="preserve">5.  гр. София, ул. "Вихрен", бл. 39А, Апартамент</t>
  </si>
  <si>
    <t xml:space="preserve">6.  гр. София, ж.к. "Бъкстон", бл. 25, Апартамент</t>
  </si>
  <si>
    <t xml:space="preserve">Програма за развитие на физическото възпитание и спорта</t>
  </si>
  <si>
    <t xml:space="preserve">СОА19-ВК08-14491-[47]/12.11.2019</t>
  </si>
  <si>
    <t xml:space="preserve">ДЕТСКА ГРАДИНА № 117 "НАДЕЖДА"</t>
  </si>
  <si>
    <t xml:space="preserve">ж.к. "Младост-1", ул. "Димитър Моллов" № 9 </t>
  </si>
  <si>
    <t xml:space="preserve">000673648</t>
  </si>
  <si>
    <t xml:space="preserve">02/8749121; 02/8740041; 0878 843117; 0884 801 625</t>
  </si>
  <si>
    <t xml:space="preserve">kg117@abv.bg</t>
  </si>
  <si>
    <t xml:space="preserve">kg117@net</t>
  </si>
  <si>
    <t xml:space="preserve">Мария Ганчева Врачева</t>
  </si>
  <si>
    <t xml:space="preserve">№ 36/17.09.1996 г.</t>
  </si>
  <si>
    <t xml:space="preserve">1. BG05M2OP001-3.005-0004 "Активно приобщаване в системата на предучилищното образование" по ОП "Наука и образование за интелигентен растеж" 2014-2020 г.; 2. Национална програма "Информационни и комуникационни технологии /ИКТ/ в системата на предучилищното образование".</t>
  </si>
  <si>
    <t xml:space="preserve">Техники за овладяване и контрол на професионалния стрес“</t>
  </si>
  <si>
    <t xml:space="preserve">Техники за превенция на проблемното поведение в образователната среда“</t>
  </si>
  <si>
    <t xml:space="preserve">"Проактивен подход за ефективно планиране, организиране и изпълнение на дейностите в динамично променящата се съвременна образователна среда"</t>
  </si>
  <si>
    <t xml:space="preserve">СОА19-ВК08-14491-[160]/18.11.2019</t>
  </si>
  <si>
    <t xml:space="preserve">ДЕТСКА ГРАДИНА № 118 "УСМИВКА"</t>
  </si>
  <si>
    <t xml:space="preserve">ул. "Тайга" № 29 </t>
  </si>
  <si>
    <t xml:space="preserve">000666237</t>
  </si>
  <si>
    <t xml:space="preserve">02 936 73 12</t>
  </si>
  <si>
    <t xml:space="preserve">dg118@abv.bg</t>
  </si>
  <si>
    <t xml:space="preserve">dg-118.com</t>
  </si>
  <si>
    <t xml:space="preserve">ЗЛАТЕЛИНА МИЛКОВА ЕНЕВА</t>
  </si>
  <si>
    <t xml:space="preserve">АОС №10 / 22.01.1997 г.</t>
  </si>
  <si>
    <t xml:space="preserve">ул. "Тайга" № 29; тел. 02/936 73 12</t>
  </si>
  <si>
    <t xml:space="preserve">"Квалификация за професионалното развитие на педагогическите специалисти"</t>
  </si>
  <si>
    <t xml:space="preserve">Открита практика</t>
  </si>
  <si>
    <t xml:space="preserve">СОА19-ВК08-14491-[8]/08.11.2019</t>
  </si>
  <si>
    <t xml:space="preserve">ДЕТСКА ГРАДИНА № 119 "ДЕТСКА ПЛАНЕТА"</t>
  </si>
  <si>
    <t xml:space="preserve">ул. "Брегалница" № 26 </t>
  </si>
  <si>
    <t xml:space="preserve">000666988</t>
  </si>
  <si>
    <t xml:space="preserve">0884801434</t>
  </si>
  <si>
    <t xml:space="preserve">cdg119@abv.bg</t>
  </si>
  <si>
    <t xml:space="preserve">cdg119.idwebbg.com</t>
  </si>
  <si>
    <t xml:space="preserve">Христина Иванова Стратиева</t>
  </si>
  <si>
    <t xml:space="preserve">№712/21.06.2001 и №954/26.07.2004</t>
  </si>
  <si>
    <t xml:space="preserve">ул. "Брегалница" № 26, 02/9201266</t>
  </si>
  <si>
    <t xml:space="preserve">ул. "Гюешево" № 78, 02/4422261</t>
  </si>
  <si>
    <t xml:space="preserve">Социокултурни компетентности на учителя в интеркултурна среда</t>
  </si>
  <si>
    <t xml:space="preserve">Оказване на долекарска помощ, самопомощ и взаимопомощ </t>
  </si>
  <si>
    <t xml:space="preserve">СОА19-ВК08-14491-[205]/26.11.2019</t>
  </si>
  <si>
    <t xml:space="preserve">ДЕТСКА ГРАДИНА № 120 "ДЕТСТВО ПОД ЛИПИТЕ"</t>
  </si>
  <si>
    <t xml:space="preserve">ул. "Позитано" № 125 </t>
  </si>
  <si>
    <t xml:space="preserve">000666995</t>
  </si>
  <si>
    <t xml:space="preserve">02/8223219</t>
  </si>
  <si>
    <t xml:space="preserve">odz_120@abv.bg</t>
  </si>
  <si>
    <t xml:space="preserve">odz120.com</t>
  </si>
  <si>
    <t xml:space="preserve">Магрета Страхилова Андреева</t>
  </si>
  <si>
    <t xml:space="preserve">№ 315/23.11.1996</t>
  </si>
  <si>
    <t xml:space="preserve">М20З001-3.005-0004</t>
  </si>
  <si>
    <t xml:space="preserve">"Игри и упражнения за снемане напрежението у детето в обучителния процес"</t>
  </si>
  <si>
    <t xml:space="preserve">"Оказване на първа долекарска помощ"</t>
  </si>
  <si>
    <t xml:space="preserve">"Методи, техники за ефективно включване на родителите в системата на ПУВ"</t>
  </si>
  <si>
    <t xml:space="preserve">СОА19-ВК08-14491-[100]/13.11.2019</t>
  </si>
  <si>
    <t xml:space="preserve">ДЕТСКА ГРАДИНА № 121</t>
  </si>
  <si>
    <t xml:space="preserve">кв. "Кумарица", ул. "Искърско дефиле" № 73 </t>
  </si>
  <si>
    <t xml:space="preserve">000676021</t>
  </si>
  <si>
    <t xml:space="preserve">0884801731</t>
  </si>
  <si>
    <t xml:space="preserve">aitsaneva@abv.bg</t>
  </si>
  <si>
    <t xml:space="preserve">dg-121.com</t>
  </si>
  <si>
    <t xml:space="preserve">Антоанета Иванова Цанева</t>
  </si>
  <si>
    <t xml:space="preserve">централа: акт № 4031 от 15.07.2015 г.
филиал Доброславци: акт № 2974 от 26.09.2012 г.</t>
  </si>
  <si>
    <t xml:space="preserve">централа: гр. Нови Искър, ул. "Искърско дефиле" № 73, 
тел. 0884801731 </t>
  </si>
  <si>
    <t xml:space="preserve">филиал: с. Доброславци, ул. "Площад Мегдана" № 1, 
тел. 0876391537, 0876342646</t>
  </si>
  <si>
    <t xml:space="preserve">Проект BG05M20P001-3.005-0004 "Активно приобщаване в системата на предучилищното образование", Дейност 1</t>
  </si>
  <si>
    <t xml:space="preserve">Умения за работа в екип и лидерство на екипа в обазователната институция</t>
  </si>
  <si>
    <t xml:space="preserve">Презентационни умения с Power Point</t>
  </si>
  <si>
    <t xml:space="preserve">Конфликти и проблеми в работата на учителя-начини за преодоляване</t>
  </si>
  <si>
    <t xml:space="preserve">СОА19-УЗ21-2144/10.12.2019</t>
  </si>
  <si>
    <t xml:space="preserve">ДЕТСКА ГРАДИНА № 123 "ШАРЛ ПЕРО"</t>
  </si>
  <si>
    <t xml:space="preserve">гр. София, кв. Горубляне, ул. "Хан Аспарух" №1</t>
  </si>
  <si>
    <t xml:space="preserve">000673363</t>
  </si>
  <si>
    <t xml:space="preserve">02/9736415; 02/8791224</t>
  </si>
  <si>
    <t xml:space="preserve">odz123@abv.bg</t>
  </si>
  <si>
    <t xml:space="preserve">http://dg123sharl-pero.com/</t>
  </si>
  <si>
    <t xml:space="preserve">Валентина Петрова Колева</t>
  </si>
  <si>
    <t xml:space="preserve">№ 1920/03.04.2013 г.</t>
  </si>
  <si>
    <t xml:space="preserve">ПМС 129</t>
  </si>
  <si>
    <t xml:space="preserve">"Методи и подходи при работа с хиперактивни деца и деца с нарушена концентрация на внимание"</t>
  </si>
  <si>
    <t xml:space="preserve">"Учителско портфолио"</t>
  </si>
  <si>
    <t xml:space="preserve">"Иновации в действие: Япония- България"</t>
  </si>
  <si>
    <t xml:space="preserve">СОА19-ВК08-14491-[170]/18.11.2019</t>
  </si>
  <si>
    <t xml:space="preserve">ДЕТСКА ГРАДИНА № 124 "БЪРБОРИНО"</t>
  </si>
  <si>
    <t xml:space="preserve">ул. "Захари Kруша" № 20 </t>
  </si>
  <si>
    <t xml:space="preserve">000674230</t>
  </si>
  <si>
    <t xml:space="preserve">02/9522028</t>
  </si>
  <si>
    <t xml:space="preserve">dg124barborino@gmail.com</t>
  </si>
  <si>
    <t xml:space="preserve">https://124cdg.eu/bg/</t>
  </si>
  <si>
    <t xml:space="preserve">Теменужка Борисова Димитрова</t>
  </si>
  <si>
    <t xml:space="preserve">№ 791/21.01.2002 г. и № 1546/30.08.2010 г.</t>
  </si>
  <si>
    <t xml:space="preserve">ул. "Захари Круша" № 20; тел. 02/952 20 28; 0885 950 122</t>
  </si>
  <si>
    <t xml:space="preserve">Международна конференция приобщаващо образование</t>
  </si>
  <si>
    <t xml:space="preserve">Семинар трудови правоотношения</t>
  </si>
  <si>
    <t xml:space="preserve">Обучение-подходи за превенция на агресията в педагог.взаимодействие</t>
  </si>
  <si>
    <t xml:space="preserve">СОА19-ВК08-14491-[139]/15.11.2019</t>
  </si>
  <si>
    <t xml:space="preserve">ДЕТСКА ГРАДИНА № 125 "УСМИВКА"</t>
  </si>
  <si>
    <t xml:space="preserve">ул. "Монтевидео" № 21 </t>
  </si>
  <si>
    <t xml:space="preserve">000673694</t>
  </si>
  <si>
    <t xml:space="preserve">02/8558771, 0884801674</t>
  </si>
  <si>
    <t xml:space="preserve">usmivkadet@abv.bg</t>
  </si>
  <si>
    <t xml:space="preserve">125dg.com</t>
  </si>
  <si>
    <t xml:space="preserve">Милена Димитрова Ламбова</t>
  </si>
  <si>
    <t xml:space="preserve">1.Акт № 776/03.04.2000г., 2.Акт №1336 / 29.01.2003г.</t>
  </si>
  <si>
    <t xml:space="preserve">кв. "Овча купел", бул."Никола Петков" № 90,
тел. 02/8562998</t>
  </si>
  <si>
    <t xml:space="preserve">Придобиване на пета ПКС</t>
  </si>
  <si>
    <t xml:space="preserve">Практически модели и успешни примери от с-мата за образование на страни в ЕС</t>
  </si>
  <si>
    <t xml:space="preserve">СОА19-ВК08-14491-[211]/28.11.2019</t>
  </si>
  <si>
    <t xml:space="preserve">ДЕТСКА ГРАДИНА № 126 "ТИНТЯВА"</t>
  </si>
  <si>
    <t xml:space="preserve">ж.к. "Красна поляна-2", ул. "Спас Вацов" № 1 </t>
  </si>
  <si>
    <t xml:space="preserve">000667111</t>
  </si>
  <si>
    <t xml:space="preserve">0884801564</t>
  </si>
  <si>
    <t xml:space="preserve">tintiava_140@abv.bg</t>
  </si>
  <si>
    <t xml:space="preserve">Eмилия Велинова Такова</t>
  </si>
  <si>
    <t xml:space="preserve">№ 20/26.02.1997 г.; № 24/27.02.1997 г.</t>
  </si>
  <si>
    <t xml:space="preserve">ул. "Професор Вайганд" № 6; тел: 0884147902</t>
  </si>
  <si>
    <t xml:space="preserve">Качествено образование за равен старт</t>
  </si>
  <si>
    <t xml:space="preserve">Активно приобщавате в системата на предучилищното обрадование</t>
  </si>
  <si>
    <t xml:space="preserve">"Реалност, иновативност, подхоси и перспективи"</t>
  </si>
  <si>
    <t xml:space="preserve">"Иновативни практики за подобряване взаимоотношенията с родителите"</t>
  </si>
  <si>
    <t xml:space="preserve">"Деца от аутистичен спектър в образователната среда"</t>
  </si>
  <si>
    <t xml:space="preserve">СОА19-ВК08-14491-[111]/14.11.2019</t>
  </si>
  <si>
    <t xml:space="preserve">ДЕТСКА ГРАДИНА № 127 "СЛЪНЦЕ"</t>
  </si>
  <si>
    <t xml:space="preserve">ул. "Дедеагач" № 42 </t>
  </si>
  <si>
    <t xml:space="preserve">000674255</t>
  </si>
  <si>
    <t xml:space="preserve">02/958 92 91</t>
  </si>
  <si>
    <t xml:space="preserve">dg_127@abv.bg</t>
  </si>
  <si>
    <t xml:space="preserve">dg_127slantse.com</t>
  </si>
  <si>
    <t xml:space="preserve">Татяна Петкова Бакалова</t>
  </si>
  <si>
    <t xml:space="preserve">№1371 от 17.07.2008г.,№1534 от 07.07.2010г.,№237 от 17.07.1997г., №239 от 17.07.1997г., №27 от 18.02.1997г., №525 от 10.05.1999г., №682 от 02.02.2000г.; </t>
  </si>
  <si>
    <t xml:space="preserve">ж.к. "Стрелбище", ул. "Деде Агач" № 42; тел. 02/9581825</t>
  </si>
  <si>
    <t xml:space="preserve">ж.к. "Стрелбище", ул. "Тулча" № 16; тел. 02/9589291</t>
  </si>
  <si>
    <t xml:space="preserve">ж.к. "Стрелбище", бл. 91, вх. Б; тел. 0877-521-609</t>
  </si>
  <si>
    <t xml:space="preserve">ж.к. "Стрелбище", бл. 91, вх. В; тел. 0877-522-600</t>
  </si>
  <si>
    <t xml:space="preserve">ж.к. "Стрелбище", бл. 93, вх. А; тел. 0877-522-602</t>
  </si>
  <si>
    <t xml:space="preserve">ж.к. "Стрелбище", бл. 95; тел. 0877-520-564</t>
  </si>
  <si>
    <t xml:space="preserve">ж.к. "Стрелбище", бл. 97; тел. 0877-520-562</t>
  </si>
  <si>
    <t xml:space="preserve">1. "Активно приобщаване в системата на предучилищното образование" BG05M20P001-3.005-0004                                                                                                   2. "Квалификация за професионално развитие на педагогически специалисти" BG05M20P001-2.010-0001 кампания септември 2019 г. - август 2020 г. </t>
  </si>
  <si>
    <t xml:space="preserve">Вътрешноинституционална  квалификация: Практикум „Задължителна документация при работа с деца със специални образователни потребности. Функции и задължения на ЕПЛР в детската градина.“</t>
  </si>
  <si>
    <t xml:space="preserve">Вътрешноинституционална  квалификация: Лектория „ Атестиране на педагогическите специалисти и изготвяне на портфолио на учителите и други педагогически специалисти“</t>
  </si>
  <si>
    <t xml:space="preserve">Вътрешноинституционална  квалификация: практикум: „Електронен дневник – функции и вътрешна комуникация“</t>
  </si>
  <si>
    <t xml:space="preserve">СОА19-ВК08-14491-[36]/12.11.2019</t>
  </si>
  <si>
    <t xml:space="preserve">ДЕТСКА ГРАДИНА № 128 "ФЕНИКС"</t>
  </si>
  <si>
    <t xml:space="preserve">ж.к. "Западен парк", ул. "Суходолска" № 2 (до 17 СОУ)</t>
  </si>
  <si>
    <t xml:space="preserve">000667030</t>
  </si>
  <si>
    <t xml:space="preserve">02/822 3618, 02/920 0268</t>
  </si>
  <si>
    <t xml:space="preserve">feniks_1964@abv.bg</t>
  </si>
  <si>
    <t xml:space="preserve">dg128feniks.com</t>
  </si>
  <si>
    <t xml:space="preserve">Снежанка Атанасова Тодорова</t>
  </si>
  <si>
    <t xml:space="preserve">Акт № 18/26.02.1997 г., Акт № 17/26.02.1997 г.</t>
  </si>
  <si>
    <t xml:space="preserve">Продължаваща квалификация/10.2019</t>
  </si>
  <si>
    <t xml:space="preserve">Продължаваща квалификация/11.2019</t>
  </si>
  <si>
    <t xml:space="preserve">СОА19-ВК08-14491-[179]/18.11.2019</t>
  </si>
  <si>
    <t xml:space="preserve">ДЕТСКА ГРАДИНА № 129 "ПРИКАЗЕН СВЯТ"</t>
  </si>
  <si>
    <t xml:space="preserve">ул. "Kосово поле" № 3 </t>
  </si>
  <si>
    <t xml:space="preserve">000667047</t>
  </si>
  <si>
    <t xml:space="preserve">02/859-61-49</t>
  </si>
  <si>
    <t xml:space="preserve">cdg129@abv.bg</t>
  </si>
  <si>
    <t xml:space="preserve">129dg.bg</t>
  </si>
  <si>
    <t xml:space="preserve">Ани Томова Попова</t>
  </si>
  <si>
    <t xml:space="preserve">ул. "Нишава", бл. 5Б</t>
  </si>
  <si>
    <t xml:space="preserve">ул. "Нишава", бл. 6Б</t>
  </si>
  <si>
    <t xml:space="preserve">ПУДООС</t>
  </si>
  <si>
    <t xml:space="preserve">ОП НОИР</t>
  </si>
  <si>
    <t xml:space="preserve">Формиране на управленски компетентност</t>
  </si>
  <si>
    <t xml:space="preserve">Пъра долекарска помощ</t>
  </si>
  <si>
    <t xml:space="preserve">СОА19-ВК08-14491-[7]/08.11.2019</t>
  </si>
  <si>
    <t xml:space="preserve">ДЕТСКА ГРАДИНА № 130 "ПРИКАЗКА"</t>
  </si>
  <si>
    <t xml:space="preserve">ул. "Суходолска" № 2 </t>
  </si>
  <si>
    <t xml:space="preserve">000667054</t>
  </si>
  <si>
    <t xml:space="preserve">0884801563</t>
  </si>
  <si>
    <t xml:space="preserve">prikazka@gbg.bg</t>
  </si>
  <si>
    <t xml:space="preserve">Светослава Борисова Маринова</t>
  </si>
  <si>
    <t xml:space="preserve">454-1962Г.</t>
  </si>
  <si>
    <t xml:space="preserve">ул. "Суходолска" № 2; тел. 02/8223673</t>
  </si>
  <si>
    <t xml:space="preserve">ВЪТРЕШНА КВАЛИФИКАЦИЯ</t>
  </si>
  <si>
    <t xml:space="preserve">СОА19-ВК08-14491-[49]/12.11.2019</t>
  </si>
  <si>
    <t xml:space="preserve">ДЕТСКА ГРАДИНА № 132 "СВЕТЛИНА"</t>
  </si>
  <si>
    <t xml:space="preserve">с. Чепинци</t>
  </si>
  <si>
    <t xml:space="preserve">ул. "Стара планина" № 1</t>
  </si>
  <si>
    <t xml:space="preserve">000666269 </t>
  </si>
  <si>
    <t xml:space="preserve">0895740446/0884801730</t>
  </si>
  <si>
    <t xml:space="preserve">cdg32@abv.bg</t>
  </si>
  <si>
    <t xml:space="preserve">Биляна Тодорова Найденова</t>
  </si>
  <si>
    <t xml:space="preserve">2984/19.10.2012  3118/19.03.2013 </t>
  </si>
  <si>
    <t xml:space="preserve">с. Чепинци, ул. "Стара планина" № 1</t>
  </si>
  <si>
    <t xml:space="preserve">с. Подгумер, ул. "Стара планина"  № 1</t>
  </si>
  <si>
    <t xml:space="preserve">Професионалното портфолио на учителя, атестиране на пед. специалисти </t>
  </si>
  <si>
    <t xml:space="preserve">Трудовите правоотношения в детските градини</t>
  </si>
  <si>
    <t xml:space="preserve">СОА19-ВК08-14491-[215]/11.12.2019</t>
  </si>
  <si>
    <t xml:space="preserve">ДЕТСКА ГРАДИНА № 133 "ЗОРНИЦА"</t>
  </si>
  <si>
    <t xml:space="preserve">ул. "Еужен Потие" № 1 </t>
  </si>
  <si>
    <t xml:space="preserve">000667079</t>
  </si>
  <si>
    <t xml:space="preserve">02/8720390</t>
  </si>
  <si>
    <t xml:space="preserve">cdg133@abv.bg</t>
  </si>
  <si>
    <t xml:space="preserve">dg-133.com</t>
  </si>
  <si>
    <t xml:space="preserve">Ваня Илиева Георгиева</t>
  </si>
  <si>
    <t xml:space="preserve">3056 от 30.11.2017 г.</t>
  </si>
  <si>
    <t xml:space="preserve">Една сграда с два блока А/Б; 
ул. "Еужен Поатие" № 1; тел. 02/8720390</t>
  </si>
  <si>
    <t xml:space="preserve">Фонд "Земеделие" - Училищен плод и Училищно мляко</t>
  </si>
  <si>
    <t xml:space="preserve">Активно приобщаване в системата на предучилищното образование - Дейност 3-скрининг на деца от 3-3,6г.</t>
  </si>
  <si>
    <t xml:space="preserve">Качествено образование - гарант за задържане на децата в образователната система</t>
  </si>
  <si>
    <t xml:space="preserve">Подготовка и разработване на документи за атестиране -портфолио</t>
  </si>
  <si>
    <t xml:space="preserve">СОА19-ВК08-14491-[154]/15.11.2019</t>
  </si>
  <si>
    <t xml:space="preserve">ДЕТСКА ГРАДИНА № 134 "ЛЮБОПИТКО"</t>
  </si>
  <si>
    <t xml:space="preserve">ул. "Урвич" № 14 </t>
  </si>
  <si>
    <t xml:space="preserve">000667086</t>
  </si>
  <si>
    <t xml:space="preserve">02/952 29 19</t>
  </si>
  <si>
    <t xml:space="preserve">ldg_134@abv.bg</t>
  </si>
  <si>
    <t xml:space="preserve">ldg134.eu</t>
  </si>
  <si>
    <t xml:space="preserve">Ирина Филипова Якимова</t>
  </si>
  <si>
    <t xml:space="preserve">Решение № VI-1454 от 13.10.1966 г.</t>
  </si>
  <si>
    <t xml:space="preserve">"Развиващи игри за деца от детските градини"</t>
  </si>
  <si>
    <t xml:space="preserve">"Позитивни подходи и физическа намеса за работа с деца с емоционални и поведенчески затруднения"</t>
  </si>
  <si>
    <t xml:space="preserve">"Ефективни практики за работа на методическите обединения"</t>
  </si>
  <si>
    <t xml:space="preserve">СОА19-ВК08-14491-[32]/12.11.2019</t>
  </si>
  <si>
    <t xml:space="preserve">ДЕТСКА ГРАДИНА № 135 "МОЕ ДЕТСТВО"</t>
  </si>
  <si>
    <t xml:space="preserve">гр. Нови Искър</t>
  </si>
  <si>
    <t xml:space="preserve">ул. "Варна" № 1 </t>
  </si>
  <si>
    <t xml:space="preserve">000667450</t>
  </si>
  <si>
    <t xml:space="preserve">0884801726</t>
  </si>
  <si>
    <t xml:space="preserve">ivanova1177@abv.bg</t>
  </si>
  <si>
    <t xml:space="preserve">cdg1eu</t>
  </si>
  <si>
    <t xml:space="preserve">Галина Борисова Иванова</t>
  </si>
  <si>
    <t xml:space="preserve">Строи се нова сграда</t>
  </si>
  <si>
    <t xml:space="preserve">"Обучение по дигитални умения и ИКТ</t>
  </si>
  <si>
    <t xml:space="preserve">"Емоционална интелигентност"</t>
  </si>
  <si>
    <t xml:space="preserve">"Професионално портфолио на учителя и атестиране на педагогическите специалисти"</t>
  </si>
  <si>
    <t xml:space="preserve">СОА19-ВК08-14491-[219]/13.12.2019</t>
  </si>
  <si>
    <t xml:space="preserve">ДЕТСКА ГРАДИНА № 136 "СЛАВИЯ"</t>
  </si>
  <si>
    <t xml:space="preserve">бул. "Цар Борис III" № 130 </t>
  </si>
  <si>
    <t xml:space="preserve">000667093</t>
  </si>
  <si>
    <t xml:space="preserve">02/8551568</t>
  </si>
  <si>
    <t xml:space="preserve">cdg136@abv.bg</t>
  </si>
  <si>
    <t xml:space="preserve">http://dg136.com/</t>
  </si>
  <si>
    <t xml:space="preserve">Стефка Димитрова Илиева</t>
  </si>
  <si>
    <t xml:space="preserve">№168/19.12.1997; №1542/23.08.2010</t>
  </si>
  <si>
    <t xml:space="preserve">1.Успяваме заедно; 2. Активно приобщаване в системата на предучилищното образование</t>
  </si>
  <si>
    <t xml:space="preserve">Методи и подходи за решаване на конфликти</t>
  </si>
  <si>
    <t xml:space="preserve">ПКС- IV</t>
  </si>
  <si>
    <t xml:space="preserve">ПКС- I</t>
  </si>
  <si>
    <t xml:space="preserve">СОА19-ВК08-14491-[166]/18.11.2019</t>
  </si>
  <si>
    <t xml:space="preserve">ДЕТСКА ГРАДИНА № 137 "КАЛИНА МАЛИНА"</t>
  </si>
  <si>
    <t xml:space="preserve">ул. "Република" № 70</t>
  </si>
  <si>
    <t xml:space="preserve">000674287 </t>
  </si>
  <si>
    <t xml:space="preserve">0897983333</t>
  </si>
  <si>
    <t xml:space="preserve">dg137@abv.bg</t>
  </si>
  <si>
    <t xml:space="preserve">Снежина Антонова Мишева</t>
  </si>
  <si>
    <t xml:space="preserve">№ 2707 от РЗ26</t>
  </si>
  <si>
    <t xml:space="preserve">ул. "Александър Михов" № 25; тел. 02/938 13 07</t>
  </si>
  <si>
    <t xml:space="preserve">СОА19-ВК08-14491-[142]/15.11.2019</t>
  </si>
  <si>
    <t xml:space="preserve">ДЕТСКА ГРАДИНА № 138 "ПРИЯТЕЛИ"</t>
  </si>
  <si>
    <t xml:space="preserve">кв. "Обеля", ул. "3-та" № 13 </t>
  </si>
  <si>
    <t xml:space="preserve">131013819</t>
  </si>
  <si>
    <t xml:space="preserve">02/8341057</t>
  </si>
  <si>
    <t xml:space="preserve">dg138@abv.bg</t>
  </si>
  <si>
    <t xml:space="preserve">dg138.info</t>
  </si>
  <si>
    <t xml:space="preserve">Ерика Христова Младенова</t>
  </si>
  <si>
    <t xml:space="preserve">№ 3005/11.09.2015 г.</t>
  </si>
  <si>
    <t xml:space="preserve">Въвеждаща квалификация</t>
  </si>
  <si>
    <t xml:space="preserve">СОА19-ВК08-14491-[48]/12.11.2019</t>
  </si>
  <si>
    <t xml:space="preserve">ДЕТСКА ГРАДИНА № 139 "ПАНОРАМА"</t>
  </si>
  <si>
    <t xml:space="preserve">ул. " Ген. Асен Николов " № 12</t>
  </si>
  <si>
    <t xml:space="preserve">000667104</t>
  </si>
  <si>
    <t xml:space="preserve">028261071</t>
  </si>
  <si>
    <t xml:space="preserve">Диана Светославова Цветанова</t>
  </si>
  <si>
    <t xml:space="preserve">Акт № 7958/21.09.2012</t>
  </si>
  <si>
    <t xml:space="preserve">ул. "Луи Пастьор " № 3, тел.: 02 8266463</t>
  </si>
  <si>
    <t xml:space="preserve">СОА19-ВК08-14491-[53]/12.11.2019</t>
  </si>
  <si>
    <t xml:space="preserve">ДЕТСКА ГРАДИНА № 140 "ЗОРНИЦА"</t>
  </si>
  <si>
    <t xml:space="preserve">с. Долни Богров</t>
  </si>
  <si>
    <t xml:space="preserve">ул. "10-та" № 27 </t>
  </si>
  <si>
    <t xml:space="preserve">176392213 </t>
  </si>
  <si>
    <t xml:space="preserve">02/9951802</t>
  </si>
  <si>
    <t xml:space="preserve">dg140@abv.bg</t>
  </si>
  <si>
    <t xml:space="preserve">www.odz140.com</t>
  </si>
  <si>
    <t xml:space="preserve">Светла Христова Анчова </t>
  </si>
  <si>
    <t xml:space="preserve">№3006/2017г.</t>
  </si>
  <si>
    <t xml:space="preserve">с. Долни Богров, ул. "10-та", № 27, теефон: 02/9951802</t>
  </si>
  <si>
    <t xml:space="preserve">Семинари административен персонал</t>
  </si>
  <si>
    <t xml:space="preserve">Семинари продължаваща квалификация</t>
  </si>
  <si>
    <t xml:space="preserve">СОА19-ВК08-14491-[105]/14.11.2019</t>
  </si>
  <si>
    <t xml:space="preserve">ДЕТСКА ГРАДИНА № 141 "СЛАВЕЙКОВА ПОЛЯНА"</t>
  </si>
  <si>
    <t xml:space="preserve">ул. "Света гора" № 32</t>
  </si>
  <si>
    <t xml:space="preserve">000667129</t>
  </si>
  <si>
    <t xml:space="preserve">0884801534</t>
  </si>
  <si>
    <t xml:space="preserve">dg141@abv.bg</t>
  </si>
  <si>
    <t xml:space="preserve">dg141.com</t>
  </si>
  <si>
    <t xml:space="preserve">Бойка Стефанова Джунакова</t>
  </si>
  <si>
    <t xml:space="preserve">за първи обект: № 2729/15.05.1963 г. 
За втори обект: № 3410/11.04.1969 г.</t>
  </si>
  <si>
    <t xml:space="preserve">ул. "Света гора" № 32, тел. 0884801534</t>
  </si>
  <si>
    <t xml:space="preserve">бул. "Свети Наум" № 22, тел. 0884801534</t>
  </si>
  <si>
    <t xml:space="preserve">ПИСТ - СО Проект „Движение и здраве“ в подкрепа на инициативата  „София - Европейска столица на спорта“</t>
  </si>
  <si>
    <t xml:space="preserve">Дейност 2  Проект BG05М20П001 "Активно приобщаване в системата на предучилищното образование"</t>
  </si>
  <si>
    <t xml:space="preserve">ЦРЧР - Еразъм + "Дъга на различията"</t>
  </si>
  <si>
    <t xml:space="preserve">Портфолио и Атестиране на педагогическите специалисти</t>
  </si>
  <si>
    <t xml:space="preserve">Формиране и мотивация на екипи. Управление и координация на педагогическите екипи.</t>
  </si>
  <si>
    <t xml:space="preserve">СОА19-ВК08-14491-[208]/27.11.2019</t>
  </si>
  <si>
    <t xml:space="preserve">ДЕТСКА ГРАДИНА № 142</t>
  </si>
  <si>
    <t xml:space="preserve">бул. "Цар Борис III" № 54А</t>
  </si>
  <si>
    <t xml:space="preserve">000666931</t>
  </si>
  <si>
    <t xml:space="preserve">02/9546020</t>
  </si>
  <si>
    <t xml:space="preserve">dg_142@abv.bg</t>
  </si>
  <si>
    <t xml:space="preserve">Елина Иванова Джурджова</t>
  </si>
  <si>
    <t xml:space="preserve">ул. Хайдушка поляна № 4, 02/9526342</t>
  </si>
  <si>
    <t xml:space="preserve">бл. 19, 02/9545010</t>
  </si>
  <si>
    <t xml:space="preserve">Употреба на психоактивни вещества. Модели на превенция и терапия</t>
  </si>
  <si>
    <t xml:space="preserve">Знания, умения и компетенции на учителите за ефектовна работа в мултикултурна среда</t>
  </si>
  <si>
    <t xml:space="preserve">СОА19-ВК08-14491-[37]/12.11.2019</t>
  </si>
  <si>
    <t xml:space="preserve">ДЕТСКА ГРАДИНА № 143 "ЩУРЧЕ"</t>
  </si>
  <si>
    <t xml:space="preserve">с. Бистрица</t>
  </si>
  <si>
    <t xml:space="preserve">ул. "Тинтява" № 5 </t>
  </si>
  <si>
    <t xml:space="preserve">000667435</t>
  </si>
  <si>
    <t xml:space="preserve">0884801757</t>
  </si>
  <si>
    <t xml:space="preserve">cdgshtur4e@abv.bg</t>
  </si>
  <si>
    <t xml:space="preserve">dg143-shturche.com</t>
  </si>
  <si>
    <t xml:space="preserve">Васка Йорданова Амзина</t>
  </si>
  <si>
    <t xml:space="preserve">2229000907/07.06.2005 г.</t>
  </si>
  <si>
    <t xml:space="preserve">с. Бистрица, ул. "Тинтява" № 6; тел. 0884801757</t>
  </si>
  <si>
    <t xml:space="preserve">Новости в системата на предучилищното образование</t>
  </si>
  <si>
    <t xml:space="preserve">СОА19-ВК08-14491-[133]/15.11.2019</t>
  </si>
  <si>
    <t xml:space="preserve">ДЕТСКА ГРАДИНА № 144 "ХАНС КРИСТИАН АНДЕРСЕН"</t>
  </si>
  <si>
    <t xml:space="preserve">ж.к. "Дружба-2", ул. "Ханс Кристиан Андерсен" № 10</t>
  </si>
  <si>
    <t xml:space="preserve">000676135</t>
  </si>
  <si>
    <t xml:space="preserve">02 979 17 65</t>
  </si>
  <si>
    <t xml:space="preserve">odz77@abv.bg</t>
  </si>
  <si>
    <t xml:space="preserve">Наталия Борисова Димитрова- Златанова</t>
  </si>
  <si>
    <t xml:space="preserve">№ 2220/ 09.08.2018</t>
  </si>
  <si>
    <t xml:space="preserve">BG05M2OP001-3.05-0004 "Активно приобщаване в системата на предучилищното образование"</t>
  </si>
  <si>
    <t xml:space="preserve">Позитивна педагогическа среда</t>
  </si>
  <si>
    <t xml:space="preserve">СОА19-ВК08-14491-[69]/13.11.2019</t>
  </si>
  <si>
    <t xml:space="preserve">ДЕТСКА ГРАДИНА № 145 "БЪЛГАРКА"</t>
  </si>
  <si>
    <t xml:space="preserve">бул. "Никола Мушанов" № 151 </t>
  </si>
  <si>
    <t xml:space="preserve">000673954</t>
  </si>
  <si>
    <t xml:space="preserve">02/8220663</t>
  </si>
  <si>
    <t xml:space="preserve">cdg145@abv.bg</t>
  </si>
  <si>
    <t xml:space="preserve">www.dg145.bg</t>
  </si>
  <si>
    <t xml:space="preserve">Лидия Илиева Владимирова</t>
  </si>
  <si>
    <t xml:space="preserve">Иновативни методи за развитие и оценяване на творческите способности в ПУВ</t>
  </si>
  <si>
    <t xml:space="preserve">Хиперактивност и дефицит на вниманието</t>
  </si>
  <si>
    <t xml:space="preserve">Методи и техники за активно включване на родителите и семейството в системата на ПУО</t>
  </si>
  <si>
    <t xml:space="preserve">СОА19-ВК08-14491-[194]/19.11.2019</t>
  </si>
  <si>
    <t xml:space="preserve">ДЕТСКА ГРАДИНА № 146 "ЗВЕЗДИЦА"</t>
  </si>
  <si>
    <t xml:space="preserve">кв. "Kремиковци", ул. "Св. Св. Кирил и Методий" № 2</t>
  </si>
  <si>
    <t xml:space="preserve">000667168</t>
  </si>
  <si>
    <t xml:space="preserve">029947049</t>
  </si>
  <si>
    <t xml:space="preserve">dg_146@abv.bg</t>
  </si>
  <si>
    <t xml:space="preserve">www.dg146zvezdica.com</t>
  </si>
  <si>
    <t xml:space="preserve">Липка Стефчова Николова</t>
  </si>
  <si>
    <t xml:space="preserve">№ 3007 от дата 09.11.2016 г.</t>
  </si>
  <si>
    <t xml:space="preserve">кв. "Кремиковци", ул. "Св. Св. Кирил и Методий" № 2, 
тел.: 02/994-70-49</t>
  </si>
  <si>
    <t xml:space="preserve">Квалификационен курс за директор детска градина</t>
  </si>
  <si>
    <t xml:space="preserve">Квалификационен курс за педагогически специалисти</t>
  </si>
  <si>
    <t xml:space="preserve">СОА19-ВК08-14491-[209]/27.11.2019</t>
  </si>
  <si>
    <t xml:space="preserve">ДЕТСКА ГРАДИНА № 147 "СЛАВЕЙЧЕ"</t>
  </si>
  <si>
    <t xml:space="preserve">с. Горни Богров</t>
  </si>
  <si>
    <t xml:space="preserve">ул. "Трайчо Костов" № 1 </t>
  </si>
  <si>
    <t xml:space="preserve">000675439</t>
  </si>
  <si>
    <t xml:space="preserve">02/994 3415&amp; 0884/801 741</t>
  </si>
  <si>
    <t xml:space="preserve">dg147@mail.bg</t>
  </si>
  <si>
    <t xml:space="preserve">www.147dg.com</t>
  </si>
  <si>
    <t xml:space="preserve">Първолета Ангелова Петрова</t>
  </si>
  <si>
    <t xml:space="preserve">с. Горни Богров: № 105/26.02.1997 г.; 
филиал с. Яна: № 204/03.04.1997 г.</t>
  </si>
  <si>
    <t xml:space="preserve">с. Яна, ул. "Райна Княгиня" № 4</t>
  </si>
  <si>
    <t xml:space="preserve">"Играем с баба и дядо"</t>
  </si>
  <si>
    <t xml:space="preserve">семинари,дискусии,открити практики</t>
  </si>
  <si>
    <t xml:space="preserve">СОА19-ВК08-14491-[116]/14.11.2019</t>
  </si>
  <si>
    <t xml:space="preserve">ДЕТСКА ГРАДИНА № 148 "СЛЪНЦЕ"</t>
  </si>
  <si>
    <t xml:space="preserve">ул. "Hеофит Бозвели" № 26</t>
  </si>
  <si>
    <t xml:space="preserve">000666963</t>
  </si>
  <si>
    <t xml:space="preserve">029450138</t>
  </si>
  <si>
    <t xml:space="preserve">cdg_117@abv.bg</t>
  </si>
  <si>
    <t xml:space="preserve">dg148-slance.com</t>
  </si>
  <si>
    <t xml:space="preserve">Марияна Христова Янкова</t>
  </si>
  <si>
    <t xml:space="preserve">0218/18.06.2010г.</t>
  </si>
  <si>
    <t xml:space="preserve">гр. София, ул. "Неофит Бозвели" № 26</t>
  </si>
  <si>
    <t xml:space="preserve">Методика за обучението на децата по безопасност на движението по пътищата</t>
  </si>
  <si>
    <t xml:space="preserve">СОА19-УЗ21-1948/14.11.2019</t>
  </si>
  <si>
    <t xml:space="preserve">ДЕТСКА ГРАДИНА № 149 "ЗОРНИЦА"</t>
  </si>
  <si>
    <t xml:space="preserve">ул. "Железопътна" № 22 </t>
  </si>
  <si>
    <t xml:space="preserve">000673089</t>
  </si>
  <si>
    <t xml:space="preserve">029367582</t>
  </si>
  <si>
    <t xml:space="preserve">cdg149@abv.bg</t>
  </si>
  <si>
    <t xml:space="preserve">Ваня Тодорова Тодорова</t>
  </si>
  <si>
    <t xml:space="preserve">№ 12/22.01.1997 г.; № 17/23.10.1997 г. (втората сграда)</t>
  </si>
  <si>
    <t xml:space="preserve">ул. "Училищна" № 10 </t>
  </si>
  <si>
    <t xml:space="preserve">Първа долекарска помощ - Спешни детски състояния</t>
  </si>
  <si>
    <t xml:space="preserve">СОА19-ВК08-14491-[226]/05.02.2020</t>
  </si>
  <si>
    <t xml:space="preserve">ДЕТСКА ГРАДИНА № 151 "ЛЕДА МИЛЕВА"</t>
  </si>
  <si>
    <t xml:space="preserve">гр. София, ул. "Оборище" № 94-96</t>
  </si>
  <si>
    <t xml:space="preserve">000667200</t>
  </si>
  <si>
    <t xml:space="preserve">02/9440190</t>
  </si>
  <si>
    <t xml:space="preserve">mirela66@abv.bg</t>
  </si>
  <si>
    <t xml:space="preserve">dg151.eu</t>
  </si>
  <si>
    <t xml:space="preserve">Мирела Косева Гошкарян-Маринова</t>
  </si>
  <si>
    <t xml:space="preserve">СОА18-ВК08-14762[176]/10.12.2018;  СОА18-ВК08-6141[159]/22.05.2017</t>
  </si>
  <si>
    <t xml:space="preserve">02/9442346</t>
  </si>
  <si>
    <t xml:space="preserve">02/9431857</t>
  </si>
  <si>
    <t xml:space="preserve">Изнесен семинар за педагогическите специалисти </t>
  </si>
  <si>
    <t xml:space="preserve">29.01.2020 г.</t>
  </si>
  <si>
    <t xml:space="preserve">СОА19-ВК08-14491-[134]/15.11.2019</t>
  </si>
  <si>
    <t xml:space="preserve">ДЕТСКА ГРАДИНА № 152 "ЛЮЛЯЧЕ"</t>
  </si>
  <si>
    <t xml:space="preserve">ул. "Ванче Михайлов" № 3</t>
  </si>
  <si>
    <t xml:space="preserve">000673790</t>
  </si>
  <si>
    <t xml:space="preserve">02/824 88 62</t>
  </si>
  <si>
    <t xml:space="preserve">odz20@abv.bg</t>
  </si>
  <si>
    <t xml:space="preserve">https//sop.bg/dg152-826/</t>
  </si>
  <si>
    <t xml:space="preserve">Димитринка Кирилова Лозанова</t>
  </si>
  <si>
    <t xml:space="preserve">№8842 от 24.06.2014г.</t>
  </si>
  <si>
    <t xml:space="preserve">ул. "Ванче Михайлов" № 3; тел. 02/824 88 62</t>
  </si>
  <si>
    <t xml:space="preserve">"Повишаване на административния капацитет при работа с деца"</t>
  </si>
  <si>
    <t xml:space="preserve">"Трудови правоотношения в детските градини"</t>
  </si>
  <si>
    <t xml:space="preserve">"Ранно оценяване на 3 год. деца със скрининг тест"</t>
  </si>
  <si>
    <t xml:space="preserve">СОА19-ВК08-14491-[16]/08.11.2019</t>
  </si>
  <si>
    <t xml:space="preserve">ДЕТСКА ГРАДИНА № 153 "СВЕТА ТРОИЦА"</t>
  </si>
  <si>
    <t xml:space="preserve">ул. "Цар Симеон" № 225 </t>
  </si>
  <si>
    <t xml:space="preserve">000666447</t>
  </si>
  <si>
    <t xml:space="preserve">0882411977</t>
  </si>
  <si>
    <t xml:space="preserve">dg_153@abv.bg</t>
  </si>
  <si>
    <t xml:space="preserve">cdg53.com</t>
  </si>
  <si>
    <t xml:space="preserve">Юлия Андреева танева</t>
  </si>
  <si>
    <t xml:space="preserve">163 / 2002г.</t>
  </si>
  <si>
    <t xml:space="preserve">ж.к. "Света троица", бл. 313, вх. А; GSM 0877108625</t>
  </si>
  <si>
    <t xml:space="preserve">ж.к. "Илинден", бл. 118, вх. Д; GSM 0877529962</t>
  </si>
  <si>
    <t xml:space="preserve">,,Плуваме" - по Програма на СО за р-е на ФВС </t>
  </si>
  <si>
    <t xml:space="preserve">Вътрешноинституционални</t>
  </si>
  <si>
    <t xml:space="preserve">продължаващи</t>
  </si>
  <si>
    <t xml:space="preserve">следдипломна специализация</t>
  </si>
  <si>
    <t xml:space="preserve">СОА19-ВК08-14491-[56]/12.11.2019</t>
  </si>
  <si>
    <t xml:space="preserve">ДЕТСКА ГРАДИНА № 154 "СБЪДНАТА МЕЧТА"</t>
  </si>
  <si>
    <t xml:space="preserve">ул. "Слатинска" № 60</t>
  </si>
  <si>
    <t xml:space="preserve">000666454</t>
  </si>
  <si>
    <t xml:space="preserve">02/872 24 35</t>
  </si>
  <si>
    <t xml:space="preserve">dg154@mail.bg</t>
  </si>
  <si>
    <t xml:space="preserve">dg-154.com</t>
  </si>
  <si>
    <t xml:space="preserve">Мария Илиева Езекиева</t>
  </si>
  <si>
    <t xml:space="preserve">2352831.03.1965</t>
  </si>
  <si>
    <t xml:space="preserve">ул. "Кривина" бл.73; тел. 02/8739602</t>
  </si>
  <si>
    <t xml:space="preserve">ПМС129</t>
  </si>
  <si>
    <t xml:space="preserve">Компютърно обучение Word Exel Paurd poind</t>
  </si>
  <si>
    <t xml:space="preserve">Игрова технология за осъществяване на образователния процес в детската градина</t>
  </si>
  <si>
    <t xml:space="preserve">Методи и техники за ефективно включване на родителите и семейството в системата на предучилищното и училищно образование</t>
  </si>
  <si>
    <t xml:space="preserve">СОА19-ВК08-14491-[138]/15.11.2019</t>
  </si>
  <si>
    <t xml:space="preserve">ДЕТСКА ГРАДИНА № 155 "ВЕСЕЛИНА"</t>
  </si>
  <si>
    <t xml:space="preserve">ул. "Георги Минчев" № 35</t>
  </si>
  <si>
    <t xml:space="preserve">000666461</t>
  </si>
  <si>
    <t xml:space="preserve">0887280077</t>
  </si>
  <si>
    <t xml:space="preserve">dg155veselina@abv.bg</t>
  </si>
  <si>
    <t xml:space="preserve">www.dg155.com</t>
  </si>
  <si>
    <t xml:space="preserve">Галя Димитрова Бързева</t>
  </si>
  <si>
    <t xml:space="preserve">№ 0704/28.04.1999 г.;  № 0734/24.09.1999 г.</t>
  </si>
  <si>
    <t xml:space="preserve">ул. "Каймакчалан" № 4, тел. 02/9446392</t>
  </si>
  <si>
    <t xml:space="preserve">1. НП "Заедно за всяко дете"; 2. ПМС 129: Ние спортуваме (по Програма за развите на физическото възпитание и спорта, І- ва стратегическа цел)</t>
  </si>
  <si>
    <t xml:space="preserve">Въвеждаща и продължаваща квалификация на педагогическите кадри: 1. Модел за работа с деца и агресивно поведение (8 бр.); 2. Методики и техники на ефективно включване на родителите  и семейството в системата на предучилищното образование - РУО (1 бр.); 3. Професионално портфолио на учителя и атестиране на педагогическите специалисти (22 бр.); 4. Трудово-правни отношения (1 бр.); 5. Придобиване на пета квалификационна степен (1 бр.); 6. Защита на личните данни - права и задължения. Практическа работа на длъжностните лица по ЗЛД, фирмен и документален одит (1 бр.)</t>
  </si>
  <si>
    <t xml:space="preserve">СОА19-ВК08-14491-[60]/12.11.2019</t>
  </si>
  <si>
    <t xml:space="preserve">ДЕТСКА ГРАДИНА № 157 "ДЕТСКА СТРЯХА"</t>
  </si>
  <si>
    <t xml:space="preserve">ул. "Беласица" № 26</t>
  </si>
  <si>
    <t xml:space="preserve">000675211</t>
  </si>
  <si>
    <t xml:space="preserve">029917376</t>
  </si>
  <si>
    <t xml:space="preserve">vrublevska@abv.bg</t>
  </si>
  <si>
    <t xml:space="preserve">Снежанка Асенова Врублевска</t>
  </si>
  <si>
    <t xml:space="preserve">№464/1978г.</t>
  </si>
  <si>
    <t xml:space="preserve">Нови Искър ул. "Беласица" №26 тел:029917376</t>
  </si>
  <si>
    <t xml:space="preserve">BG05M20P001-3.005-0004"Активно приобщаване в системата на предучилиощното образование"</t>
  </si>
  <si>
    <t xml:space="preserve">семинар-директор</t>
  </si>
  <si>
    <t xml:space="preserve">обучение-директор</t>
  </si>
  <si>
    <t xml:space="preserve">СОА19-ВК08-14491-[106]/14.11.2019</t>
  </si>
  <si>
    <t xml:space="preserve">ДЕТСКА ГРАДИНА № 158 "ЗОРА"</t>
  </si>
  <si>
    <t xml:space="preserve">кв. "Захарна фабрика" </t>
  </si>
  <si>
    <t xml:space="preserve">000673801</t>
  </si>
  <si>
    <t xml:space="preserve">0882887183</t>
  </si>
  <si>
    <t xml:space="preserve">dg158@abv.bg</t>
  </si>
  <si>
    <t xml:space="preserve">Иванка Христова Тончева</t>
  </si>
  <si>
    <t xml:space="preserve">ул. "Билянини извори" № 6; тел. 02/8219185</t>
  </si>
  <si>
    <t xml:space="preserve">"Активно приобщаване в системата на предучилищното оразование"</t>
  </si>
  <si>
    <t xml:space="preserve">тренинги</t>
  </si>
  <si>
    <t xml:space="preserve">СОА19-ВК08-14491-[84]/13.11.2019</t>
  </si>
  <si>
    <t xml:space="preserve">ДЕТСКА ГРАДИНА № 159 "ОЛИМПИЙЧЕ"</t>
  </si>
  <si>
    <t xml:space="preserve">ул. "Гладстон" № 38</t>
  </si>
  <si>
    <t xml:space="preserve">000666785</t>
  </si>
  <si>
    <t xml:space="preserve">02 /988 56 83; 0884 801 400</t>
  </si>
  <si>
    <t xml:space="preserve">dg_159@abv.bg</t>
  </si>
  <si>
    <t xml:space="preserve">dg-159.com</t>
  </si>
  <si>
    <t xml:space="preserve">Тотка Георгиева Керемидчиева</t>
  </si>
  <si>
    <t xml:space="preserve">№ 828 / 10.11.2006г. ; № 556/ 07.06.2007г.</t>
  </si>
  <si>
    <t xml:space="preserve">сграда 1 - ул. "Уилям Гладстон" № 38; тел. 02/ 9883077</t>
  </si>
  <si>
    <t xml:space="preserve">сграда 2 - ул. "Христо Белчев" № 13; тел. 02/9884468</t>
  </si>
  <si>
    <t xml:space="preserve">Педагогическа технология за работа с деца със СОП.</t>
  </si>
  <si>
    <t xml:space="preserve">IV-то ПКС</t>
  </si>
  <si>
    <t xml:space="preserve">СОА19-ВК08-14491-[220]/13.12.2019</t>
  </si>
  <si>
    <t xml:space="preserve">ДЕТСКА ГРАДИНА № 160 "ДРАГАЛЕВЦИ"</t>
  </si>
  <si>
    <t xml:space="preserve">кв. "Драгалевци", ул. "Захари Зограф" № 1</t>
  </si>
  <si>
    <t xml:space="preserve">000673331</t>
  </si>
  <si>
    <t xml:space="preserve">02/967 10 14       0884 801 664</t>
  </si>
  <si>
    <t xml:space="preserve">odz_160@abv.bg</t>
  </si>
  <si>
    <t xml:space="preserve">Румяна Георгиева Узунска</t>
  </si>
  <si>
    <t xml:space="preserve">№ 4139 / 01.12.1971г.</t>
  </si>
  <si>
    <t xml:space="preserve">гр. София, кв. "Драгалевци", ул. "Захари Зограф" № 1 </t>
  </si>
  <si>
    <t xml:space="preserve">гр. София, кв. "Драгалевци", ул. "Кумините" № 3</t>
  </si>
  <si>
    <t xml:space="preserve">Първа Долекарска Помощ</t>
  </si>
  <si>
    <t xml:space="preserve">Трудови правоотношения в ДГ</t>
  </si>
  <si>
    <t xml:space="preserve">Портфолио на учителя</t>
  </si>
  <si>
    <t xml:space="preserve">СОА19-ВК08-14491-[150]/15.11.2019</t>
  </si>
  <si>
    <t xml:space="preserve">ДЕТСКА ГРАДИНА № 161 "ЛАСКА"</t>
  </si>
  <si>
    <t xml:space="preserve">кв. "Овча купел", ул. "Маестро Кънев" № 29</t>
  </si>
  <si>
    <t xml:space="preserve">000667257</t>
  </si>
  <si>
    <t xml:space="preserve">dg@abv.bg</t>
  </si>
  <si>
    <t xml:space="preserve">dg161laska.bg</t>
  </si>
  <si>
    <t xml:space="preserve">Таня Иванова Милорова</t>
  </si>
  <si>
    <t xml:space="preserve">№3665 от 07.09.2015 г</t>
  </si>
  <si>
    <t xml:space="preserve">ул. "Евлия Челеби" № 1</t>
  </si>
  <si>
    <t xml:space="preserve">ул. "Маестро Кънев" № 2</t>
  </si>
  <si>
    <t xml:space="preserve">"Иновативни практики за подобряване взаймоотношенията с родители"</t>
  </si>
  <si>
    <t xml:space="preserve">"Методика на обучение по БДП"</t>
  </si>
  <si>
    <t xml:space="preserve">СОА19-ВК08-14491-[81]/13.11.2019</t>
  </si>
  <si>
    <t xml:space="preserve">ДЕТСКА ГРАДИНА № 162 "ВИХРОГОНЧЕ"</t>
  </si>
  <si>
    <t xml:space="preserve">ул. "Урвич" № 12 </t>
  </si>
  <si>
    <t xml:space="preserve">000667264</t>
  </si>
  <si>
    <t xml:space="preserve">02/9522329</t>
  </si>
  <si>
    <t xml:space="preserve">virogonche_cdg162@abv.bg</t>
  </si>
  <si>
    <t xml:space="preserve">dg162.net</t>
  </si>
  <si>
    <t xml:space="preserve">Елена Панталеева Чавдарова</t>
  </si>
  <si>
    <t xml:space="preserve">№ 1322/28.04.2006 г.; № 1515/09.10.2009 г.; 
№ 1127/20.01.2014 г.</t>
  </si>
  <si>
    <t xml:space="preserve">ул. "Урвич" № 12; тел. 02/9522329</t>
  </si>
  <si>
    <t xml:space="preserve">ул. "Емине" бл. 46; тел. 0877855682</t>
  </si>
  <si>
    <t xml:space="preserve">Превенция и защите на личните данни</t>
  </si>
  <si>
    <t xml:space="preserve">Взаимодействие с родителите</t>
  </si>
  <si>
    <t xml:space="preserve">СОА19-УЗ21-1952/15.11.2019</t>
  </si>
  <si>
    <t xml:space="preserve">ДЕТСКА ГРАДИНА № 164 "ЗОРНИЦА"</t>
  </si>
  <si>
    <t xml:space="preserve">ул. "Мечево усое" № 6</t>
  </si>
  <si>
    <t xml:space="preserve">121820903</t>
  </si>
  <si>
    <t xml:space="preserve">02/9578622</t>
  </si>
  <si>
    <t xml:space="preserve">odz@abv.bg</t>
  </si>
  <si>
    <t xml:space="preserve">dg164zornica1.bg</t>
  </si>
  <si>
    <t xml:space="preserve">Мариета Йорданова Велкова</t>
  </si>
  <si>
    <t xml:space="preserve">№1512 от 15.10.2003г</t>
  </si>
  <si>
    <t xml:space="preserve">СОА19-ВК08-14491-[165]/18.11.2019</t>
  </si>
  <si>
    <t xml:space="preserve">ДЕТСКА ГРАДИНА № 165 "ЛАТИНКА"</t>
  </si>
  <si>
    <t xml:space="preserve">ул. "Чарлз Дарвин" № 19 </t>
  </si>
  <si>
    <t xml:space="preserve">000667296</t>
  </si>
  <si>
    <t xml:space="preserve">02/8720102</t>
  </si>
  <si>
    <t xml:space="preserve">cdg165@dbv.bg</t>
  </si>
  <si>
    <t xml:space="preserve">cdg165.com</t>
  </si>
  <si>
    <t xml:space="preserve">Полина Маринова Йорданова</t>
  </si>
  <si>
    <t xml:space="preserve">СОА19-ВК08-14491-[125]/14.11.2019</t>
  </si>
  <si>
    <t xml:space="preserve">ДЕТСКА ГРАДИНА № 166 "ВЕСЕЛУШКА"</t>
  </si>
  <si>
    <t xml:space="preserve">ул. "Горски пътник" № 23 </t>
  </si>
  <si>
    <t xml:space="preserve">000667307</t>
  </si>
  <si>
    <t xml:space="preserve">02/866 22 71; 0884 801 535</t>
  </si>
  <si>
    <t xml:space="preserve">dg166@abv.bg</t>
  </si>
  <si>
    <t xml:space="preserve">http://www.cdg166.com</t>
  </si>
  <si>
    <t xml:space="preserve">Малинка Стефанова Петрова</t>
  </si>
  <si>
    <t xml:space="preserve">№ 4678/07.11.2003</t>
  </si>
  <si>
    <t xml:space="preserve">ул. "Горски пътник" № 23; тел. 02/866 22 71; 0884 801 535</t>
  </si>
  <si>
    <t xml:space="preserve">Работа с родителите</t>
  </si>
  <si>
    <t xml:space="preserve">Инспекиране и атестиране</t>
  </si>
  <si>
    <t xml:space="preserve">СОА19-ВК08-14491-[129]/14.11.2019</t>
  </si>
  <si>
    <t xml:space="preserve">ДЕТСКА ГРАДИНА № 167 "МАЛКИЯТ ПРИНЦ"</t>
  </si>
  <si>
    <t xml:space="preserve">ул. "Балша" № 6-8</t>
  </si>
  <si>
    <t xml:space="preserve">000667314</t>
  </si>
  <si>
    <t xml:space="preserve">02/952 16 10</t>
  </si>
  <si>
    <t xml:space="preserve">malkiyatprinc@abv.bg</t>
  </si>
  <si>
    <t xml:space="preserve">malkiyatprinc.eu</t>
  </si>
  <si>
    <t xml:space="preserve">Даниела Николаева Кулинска</t>
  </si>
  <si>
    <t xml:space="preserve">ул. "Янко Забунов"</t>
  </si>
  <si>
    <t xml:space="preserve">BG05M20P001-2.010-0001 "Квалификация за професионално развитие на педагогическите специалисти"</t>
  </si>
  <si>
    <t xml:space="preserve">Приказкотерапия или как чрез приказката да създадем позитивна среда на децата в детската градина</t>
  </si>
  <si>
    <t xml:space="preserve">СОА19-ВК08-14491-[169]/18.11.2019</t>
  </si>
  <si>
    <t xml:space="preserve">ДЕТСКА ГРАДИНА № 168 "СЛЪНЧОГЛЕДИ"</t>
  </si>
  <si>
    <t xml:space="preserve">ул. "Постоянство" № 9</t>
  </si>
  <si>
    <t xml:space="preserve">000667321</t>
  </si>
  <si>
    <t xml:space="preserve">0884801506</t>
  </si>
  <si>
    <t xml:space="preserve">sunflowers_168@abv.bg</t>
  </si>
  <si>
    <t xml:space="preserve">www.sunflowers168.eu</t>
  </si>
  <si>
    <t xml:space="preserve">Надежда Николаевна Тончева</t>
  </si>
  <si>
    <t xml:space="preserve">0700/28.04.1999 г.; 0701/28.04.1999 г.; 0735/24.09.1999 г.</t>
  </si>
  <si>
    <t xml:space="preserve">ул. "Постоянство" № 9, тел. 02/8720993</t>
  </si>
  <si>
    <t xml:space="preserve">ул. "Лидице" № 16, бл. 261, ет. 1</t>
  </si>
  <si>
    <t xml:space="preserve">ул. "Андрей Николов" бл. 254, вх. В, ет. 1</t>
  </si>
  <si>
    <t xml:space="preserve">1. НП " Заедно за всяко дете "</t>
  </si>
  <si>
    <t xml:space="preserve">2. ПМС 129; Ние спортуваме - по Програма за развите на физическото възпитание и спорта, І- ва стратегическа цел</t>
  </si>
  <si>
    <t xml:space="preserve">Въвеждаща и продължаваща квалификация на педагогическите кадри: 1. Психология на общуването в образователна среда (20 бр.); 2. Методики и техники на ефективно включване на родителите  и семейството в системата на предучилищното образование - РУО (1 бр.); 3. Планиране на учебно-възпитателна работа. (20 бр.); 4. Трудово-правни отношения (1 бр.); 5. Придобиване на пета квалификационна степен (1 бр.); 6. Придобиване на четвърта квалафикационна степен (11 бр.)</t>
  </si>
  <si>
    <t xml:space="preserve">СОА19-ВК08-14491-[210]/28.11.2019</t>
  </si>
  <si>
    <t xml:space="preserve">ДЕТСКА ГРАДИНА № 169 "КОЛЕДАРЧЕ"</t>
  </si>
  <si>
    <t xml:space="preserve">бул. "Алеко Туранджа" № 4 </t>
  </si>
  <si>
    <t xml:space="preserve">000666194</t>
  </si>
  <si>
    <t xml:space="preserve">0884801561</t>
  </si>
  <si>
    <t xml:space="preserve">koledarche24@gmail.com</t>
  </si>
  <si>
    <t xml:space="preserve">koledarche.com</t>
  </si>
  <si>
    <t xml:space="preserve">Румяна Йорданова Милева</t>
  </si>
  <si>
    <t xml:space="preserve">2/5.12.1996г.</t>
  </si>
  <si>
    <t xml:space="preserve">СОА19-ВК08-14491-[140]/15.11.2019</t>
  </si>
  <si>
    <t xml:space="preserve">ДЕТСКА ГРАДИНА № 170 "ПЧЕЛИЦА"</t>
  </si>
  <si>
    <t xml:space="preserve">ул. "Любородне" № 4</t>
  </si>
  <si>
    <t xml:space="preserve">000667346</t>
  </si>
  <si>
    <t xml:space="preserve">0884801590</t>
  </si>
  <si>
    <t xml:space="preserve">dg170@abv.bg</t>
  </si>
  <si>
    <t xml:space="preserve">pchelica.webnode.com</t>
  </si>
  <si>
    <t xml:space="preserve">Венета Костадинова Ковачка</t>
  </si>
  <si>
    <t xml:space="preserve">гр. София, ул. "Любородие" № 4, 02/9382922</t>
  </si>
  <si>
    <t xml:space="preserve">гр. София, ул. "Сава Филаретов" № 44, 02/9676822</t>
  </si>
  <si>
    <t xml:space="preserve">Надеждата: аз, ти, ние - с песни и танци толерантни и обединени</t>
  </si>
  <si>
    <t xml:space="preserve">Ролята на творческите  и диддактичните игри за повишаване на мотивацията и стимулиране на познавателната активност у децата. Провокиране на творческото мислене и въображение  при децата чрез игри</t>
  </si>
  <si>
    <t xml:space="preserve">Творчеството – реалност и необходимост при педагогическото взаимодействие – начин на поднасяне на информация за родители и деца, кътове по интереси, изработване на табла и дидактични материали във всички групи</t>
  </si>
  <si>
    <t xml:space="preserve">Комуникативни техники на общуване в педагогическия процес</t>
  </si>
  <si>
    <t xml:space="preserve">СОА19-ВК08-14491-[112]/14.11.2019</t>
  </si>
  <si>
    <t xml:space="preserve">ДЕТСКА ГРАДИНА № 171 "СВОБОДА"</t>
  </si>
  <si>
    <t xml:space="preserve">ул. "Петко Д. Петков" № 14</t>
  </si>
  <si>
    <t xml:space="preserve">000667353</t>
  </si>
  <si>
    <t xml:space="preserve">0888 105 103/02 441 02 81</t>
  </si>
  <si>
    <t xml:space="preserve">cdg171@abv.bg</t>
  </si>
  <si>
    <t xml:space="preserve">dg171-svoboda.com</t>
  </si>
  <si>
    <t xml:space="preserve">Евелина Евгениева Корчева-Станчева</t>
  </si>
  <si>
    <t xml:space="preserve">2186/05.08.2014г.</t>
  </si>
  <si>
    <t xml:space="preserve">СОА19-ВК08-14491-[91]/13.11.2019</t>
  </si>
  <si>
    <t xml:space="preserve">ДЕТСКА ГРАДИНА № 172 "СОФИЯ"</t>
  </si>
  <si>
    <t xml:space="preserve">ж.к. "Надежда-1", ул. "Кирил Дрангов" № 14</t>
  </si>
  <si>
    <t xml:space="preserve">176908427</t>
  </si>
  <si>
    <t xml:space="preserve">02/967 65 43</t>
  </si>
  <si>
    <t xml:space="preserve">odz172@abv.bg</t>
  </si>
  <si>
    <t xml:space="preserve">Иванка Петрова Иванова</t>
  </si>
  <si>
    <t xml:space="preserve">ЗАПОВЕД № СО15–РД–099654 / 17.06.2015 г.</t>
  </si>
  <si>
    <t xml:space="preserve">„Подобряване на местната ситуация за отглеждане на деца с увреждания / СОП чрез квалифициране на персонала в ДГ №172“</t>
  </si>
  <si>
    <t xml:space="preserve">въвеждаща квалификация</t>
  </si>
  <si>
    <t xml:space="preserve">СОА19-УЗ21-2033/26.11.2019</t>
  </si>
  <si>
    <t xml:space="preserve">ДЕТСКА ГРАДИНА № 173 "ЗВЪНЧЕ"</t>
  </si>
  <si>
    <t xml:space="preserve">ул. "Златица" № 46 </t>
  </si>
  <si>
    <t xml:space="preserve">000667378</t>
  </si>
  <si>
    <t xml:space="preserve">02 947 84 78</t>
  </si>
  <si>
    <t xml:space="preserve">doris_2005@abv.bg</t>
  </si>
  <si>
    <t xml:space="preserve">Дора Александрова Лисева</t>
  </si>
  <si>
    <t xml:space="preserve">ул. "Филип Тотю" № 24, тел. 840 33 47</t>
  </si>
  <si>
    <t xml:space="preserve">Външна квалификация - Работа със задължителна документация</t>
  </si>
  <si>
    <t xml:space="preserve">Външна квалификация - Портфолио на учителя и атестиране</t>
  </si>
  <si>
    <t xml:space="preserve">Външна квалификация -  Ритъм, движение и музика в детския танц</t>
  </si>
  <si>
    <t xml:space="preserve">СОА19-ВК08-14491-[80]/13.11.2019</t>
  </si>
  <si>
    <t xml:space="preserve">ДЕТСКА ГРАДИНА № 174 "ФЮТ"</t>
  </si>
  <si>
    <t xml:space="preserve">ул. "Мала планина" № 36</t>
  </si>
  <si>
    <t xml:space="preserve">000667385</t>
  </si>
  <si>
    <t xml:space="preserve">02 862 10 90 / 0884 801 536</t>
  </si>
  <si>
    <t xml:space="preserve">g_tsankova@mail.bg / fut174@abv.bg</t>
  </si>
  <si>
    <t xml:space="preserve">http://www.dg174fiut.com</t>
  </si>
  <si>
    <t xml:space="preserve">Гергана Иванова Цанкова</t>
  </si>
  <si>
    <t xml:space="preserve">Придобиване на правни умения от страна на педагогическите специалисти, посредством запознаването им с нормативната уредба, относима към системата на образованието,за адекватна реакция спрямо агресията на ученици, родители и общественост</t>
  </si>
  <si>
    <t xml:space="preserve">Справяне със стреса на работното място</t>
  </si>
  <si>
    <t xml:space="preserve">СОА19-ВК08-14491-[88]/13.11.2019</t>
  </si>
  <si>
    <t xml:space="preserve">ДЕТСКА ГРАДИНА № 175 "СЛЪНЧЕВИ ЛЪЧИ"</t>
  </si>
  <si>
    <t xml:space="preserve">мест. "Витоша", ВЕЦ Симеоново, ул. "Тодор Чипев" № 1 </t>
  </si>
  <si>
    <t xml:space="preserve">176618153</t>
  </si>
  <si>
    <t xml:space="preserve">0884801589</t>
  </si>
  <si>
    <t xml:space="preserve">odz175@abv.bg</t>
  </si>
  <si>
    <t xml:space="preserve">http://www.dg175.eu/bg/</t>
  </si>
  <si>
    <t xml:space="preserve">Виолета Цветанова Гълъбова</t>
  </si>
  <si>
    <t xml:space="preserve">№ 4901/2008 г. на Район Лозенец</t>
  </si>
  <si>
    <t xml:space="preserve">BG05M20P001-3.005-0004 "Активно приобщаване в системата на предучилищното образование"</t>
  </si>
  <si>
    <t xml:space="preserve">„Безопасност на движение по пътищата. Методика на обучението“.</t>
  </si>
  <si>
    <t xml:space="preserve">"Прилагане на скрининг тест за деца от 3 до 3 години и 6 месеца"</t>
  </si>
  <si>
    <t xml:space="preserve">СОА19-ВК08-14491-[183]/18.11.2019</t>
  </si>
  <si>
    <t xml:space="preserve">ДЕТСКА ГРАДИНА № 176 "ЗОРНИЦА"</t>
  </si>
  <si>
    <t xml:space="preserve">с. Мрамор</t>
  </si>
  <si>
    <t xml:space="preserve">ул. "Любен Kаравелов" № 16</t>
  </si>
  <si>
    <t xml:space="preserve">176334968</t>
  </si>
  <si>
    <t xml:space="preserve">02/998 23 72</t>
  </si>
  <si>
    <t xml:space="preserve">odz176@abv.bg</t>
  </si>
  <si>
    <t xml:space="preserve">176.odz-bg.com</t>
  </si>
  <si>
    <t xml:space="preserve">Росица Иванова Манова</t>
  </si>
  <si>
    <t xml:space="preserve">№ 2751 и № 2752 от 25.09.2012 г.</t>
  </si>
  <si>
    <t xml:space="preserve">с. Волуяк, ул. Зорница № 42, тел. 02/998 90 41</t>
  </si>
  <si>
    <t xml:space="preserve">СОА19-ВК08-14491-[221]/13.12.2019</t>
  </si>
  <si>
    <t xml:space="preserve">ДЕТСКА ГРАДИНА № 177 "ЛЮТИЧЕ"</t>
  </si>
  <si>
    <t xml:space="preserve">ул. "Витиня" № 1</t>
  </si>
  <si>
    <t xml:space="preserve">000674935</t>
  </si>
  <si>
    <t xml:space="preserve">02/945 04 93; 02/847 39 39</t>
  </si>
  <si>
    <t xml:space="preserve">cdg177@abv.bg</t>
  </si>
  <si>
    <t xml:space="preserve">лютиче.com</t>
  </si>
  <si>
    <t xml:space="preserve">Калина Илиева Кръстева</t>
  </si>
  <si>
    <t xml:space="preserve">"Първа долекарска помощ"</t>
  </si>
  <si>
    <t xml:space="preserve">СОА19-ВК08-14491-[222]/13.12.2019</t>
  </si>
  <si>
    <t xml:space="preserve">ДЕТСКА ГРАДИНА № 178 "СРЕБЪРНО КОПИТЦЕ"</t>
  </si>
  <si>
    <t xml:space="preserve">ж.к. "Младост-3" (до бл. 363/368)</t>
  </si>
  <si>
    <t xml:space="preserve">000675503</t>
  </si>
  <si>
    <t xml:space="preserve">028746110 /0884801628</t>
  </si>
  <si>
    <t xml:space="preserve">detskagradina_178@abv.bg</t>
  </si>
  <si>
    <t xml:space="preserve">http://odz178.deckagradina.info/</t>
  </si>
  <si>
    <t xml:space="preserve">Елена Иванова</t>
  </si>
  <si>
    <t xml:space="preserve">№19/17.09.1996</t>
  </si>
  <si>
    <t xml:space="preserve">ж.к. "Младост-3", ул. "Полк. Владимир Серафимов" № 10, 
тел. 02/8746110</t>
  </si>
  <si>
    <t xml:space="preserve">ж.к. "Младост-3", ул. "Свето Преображение" № 2, 
тел. 0879815541</t>
  </si>
  <si>
    <t xml:space="preserve">Курс за компютърна грамотност-5 модула</t>
  </si>
  <si>
    <t xml:space="preserve">Символни елементи при рисунките на децата</t>
  </si>
  <si>
    <t xml:space="preserve">Изграждане на ключови компетенции на педагогическите специалисти</t>
  </si>
  <si>
    <t xml:space="preserve">СОА19-ВК08-14491-[45]/12.11.2019</t>
  </si>
  <si>
    <t xml:space="preserve">ДЕТСКА ГРАДИНА № 179 "СИНЧЕЦ"</t>
  </si>
  <si>
    <t xml:space="preserve">ул. "Kукуш" № 34 </t>
  </si>
  <si>
    <t xml:space="preserve">000666640</t>
  </si>
  <si>
    <t xml:space="preserve">0884801578</t>
  </si>
  <si>
    <t xml:space="preserve">dg179@abv.bg</t>
  </si>
  <si>
    <t xml:space="preserve">www.dg179.bg</t>
  </si>
  <si>
    <t xml:space="preserve">Мая Благоева Петрова</t>
  </si>
  <si>
    <t xml:space="preserve">град София - 1345, ул. "Кукуш" 34, 02 8210025</t>
  </si>
  <si>
    <t xml:space="preserve">1. НП "Развитие на системата на предучилищното образование" 2. НП "Развитие на системата на предучилищното образование" 3. НП "Развитие на системата на предучилищното образование" 4. НК "Чиста околна среда" - Проект "Вкусната градинка - създаване на зона за учене чрез преживяване сред природата" 5. НП "Информационни и комуникационни технологии в системата на предучилищното и училищното образование"</t>
  </si>
  <si>
    <t xml:space="preserve">Тренинги</t>
  </si>
  <si>
    <t xml:space="preserve">Кръгла маса/обмяна на опит</t>
  </si>
  <si>
    <t xml:space="preserve">СОА19-ВК08-14491-[124]/14.11.2019</t>
  </si>
  <si>
    <t xml:space="preserve">ДЕТСКА ГРАДИНА № 180 "ЗАЙЧЕНЦЕТО БЯЛО"</t>
  </si>
  <si>
    <t xml:space="preserve">с. Герман</t>
  </si>
  <si>
    <t xml:space="preserve">ул. "Патриарх Герман" № 81А </t>
  </si>
  <si>
    <t xml:space="preserve">000675994</t>
  </si>
  <si>
    <t xml:space="preserve">02/ 992 80 74</t>
  </si>
  <si>
    <t xml:space="preserve">odz_180@abv.bg</t>
  </si>
  <si>
    <t xml:space="preserve">www.dg180.org</t>
  </si>
  <si>
    <t xml:space="preserve">Татяна Иванова Величкова</t>
  </si>
  <si>
    <t xml:space="preserve">5785/27.05.2016 г.</t>
  </si>
  <si>
    <t xml:space="preserve">краткосрочни обучения</t>
  </si>
  <si>
    <t xml:space="preserve">СОА19-ВК08-14491-[51]/12.11.2019</t>
  </si>
  <si>
    <t xml:space="preserve">ДЕТСКА ГРАДИНА № 181 "РАДОСТ"</t>
  </si>
  <si>
    <t xml:space="preserve">с. Железница</t>
  </si>
  <si>
    <t xml:space="preserve">ул. "Плана планина" № 26 </t>
  </si>
  <si>
    <t xml:space="preserve">000676007</t>
  </si>
  <si>
    <t xml:space="preserve">029927654</t>
  </si>
  <si>
    <t xml:space="preserve">cdg181radost@abv.bg</t>
  </si>
  <si>
    <t xml:space="preserve">www.181dg.com</t>
  </si>
  <si>
    <t xml:space="preserve">Камелия Младенова Чукунова</t>
  </si>
  <si>
    <t xml:space="preserve">№1160/1998г.</t>
  </si>
  <si>
    <t xml:space="preserve">с. Железница, ул. "Плана планина" № 26</t>
  </si>
  <si>
    <t xml:space="preserve">Кухненски блок сграда на ул. "Плана планина" № 11</t>
  </si>
  <si>
    <t xml:space="preserve">Национална кампания "За чиста околна среда - 2019 г."; "Обичам природата и аз участвам"</t>
  </si>
  <si>
    <t xml:space="preserve">Продължаваща и вътрешноинституционална квалификация</t>
  </si>
  <si>
    <t xml:space="preserve">СОА19-ВК08-14491-[58]/12.11.2019</t>
  </si>
  <si>
    <t xml:space="preserve">ДЕТСКА ГРАДИНА № 182 "ПЧЕЛИЦА"</t>
  </si>
  <si>
    <t xml:space="preserve">ВЕЦ Пасарел № 17 </t>
  </si>
  <si>
    <t xml:space="preserve">000676014</t>
  </si>
  <si>
    <t xml:space="preserve">029924208</t>
  </si>
  <si>
    <t xml:space="preserve">pchelica_182@mail.bg</t>
  </si>
  <si>
    <t xml:space="preserve">dg182pchelica.com</t>
  </si>
  <si>
    <t xml:space="preserve">Цеца Йорданова Василева- Стайкова</t>
  </si>
  <si>
    <t xml:space="preserve">№ 184 от 22.07.1997 г.</t>
  </si>
  <si>
    <t xml:space="preserve">СОА19-ВК08-14491-[87]/13.11.2019</t>
  </si>
  <si>
    <t xml:space="preserve">ДЕТСКА ГРАДИНА № 183 "ЩАСТЛИВО ДЕТСТВО"</t>
  </si>
  <si>
    <t xml:space="preserve">ул. "Галилео Галилей" № 30</t>
  </si>
  <si>
    <t xml:space="preserve">000676039</t>
  </si>
  <si>
    <t xml:space="preserve">028706137</t>
  </si>
  <si>
    <t xml:space="preserve">dg183@mail.bg</t>
  </si>
  <si>
    <t xml:space="preserve">www.dg-183.com</t>
  </si>
  <si>
    <t xml:space="preserve">Мая Миткова Башева</t>
  </si>
  <si>
    <t xml:space="preserve">№ 0707/05.05.1999 г.</t>
  </si>
  <si>
    <t xml:space="preserve">Участие в семинари - директор</t>
  </si>
  <si>
    <t xml:space="preserve">Участие в семинари - педагогически персонал</t>
  </si>
  <si>
    <t xml:space="preserve">СОА19-ВК08-14491-[90]/13.11.2019</t>
  </si>
  <si>
    <t xml:space="preserve">ДЕТСКА ГРАДИНА № 184 "МЕЧО ПУХ"</t>
  </si>
  <si>
    <t xml:space="preserve">ул. "Хемус" № 10</t>
  </si>
  <si>
    <t xml:space="preserve">000675421</t>
  </si>
  <si>
    <t xml:space="preserve">0884801510</t>
  </si>
  <si>
    <t xml:space="preserve">mechopux@abv.bg</t>
  </si>
  <si>
    <t xml:space="preserve">www.mechopuh.info</t>
  </si>
  <si>
    <t xml:space="preserve">Ариета Вичишта </t>
  </si>
  <si>
    <t xml:space="preserve">№ 0708/05.05.1990</t>
  </si>
  <si>
    <t xml:space="preserve">1. Ние спортуваме - по Програма за развите на физическото възпитание и спорта, І- ва стратегическа цел</t>
  </si>
  <si>
    <t xml:space="preserve">2. ПМС 129 Ние спортуваме- по Програма за развите на физическото възпитание и спорта, І- ва стратегическа цел</t>
  </si>
  <si>
    <t xml:space="preserve">3. Еразъм+, Големия прозорец към света КД 1 за повишаване на капацитета на педагогическия персонал</t>
  </si>
  <si>
    <t xml:space="preserve">Обучение по международен проект Еразъм + КД 1</t>
  </si>
  <si>
    <t xml:space="preserve">Въвеждаща и продължаваща кв-кация на педагогическите кадри:
1. Техники за обладяване и контролилане на професионалния стрес -18бр.
2. Организиране на открита педагогическа практика  - подготовка, реализация и представяне - 18бр.
3. Разпознаване на обучителни затруднения и комплексна подкрепа на деца с обучителни трудности- 18бр.
4. Методики и техники на ефективно включване на родителите  и семейството в системата на предучилищното образование - РУО- 1 бр.
5. Професионално портфолио на учителя и атестиране на педагогическите специалисти - 4 р. 
6. Трудово- правни отношения - 1 бр.
7. Ресурсните учители и съвместно преподаване  в приобщаващото образование -3 бр.
8. Защита на личните данни - права и задължения. Практическа работа на длъжностните лица по ЗЛД, фирмен и документален одит - 1 бр.</t>
  </si>
  <si>
    <t xml:space="preserve">Обучения на непадагогически кадри 
1. Помощник - възпитател в одглеждането и възпитанието на деца - 1 бр.
2.  Защита на личните данни - права и задължения. Практическа работа на длъжностните лица по ЗЛД, фирмен и документален одит - 1 бр.</t>
  </si>
  <si>
    <t xml:space="preserve">СОА19-ВК08-14491-[159]/18.11.2019</t>
  </si>
  <si>
    <t xml:space="preserve">ДЕТСКА ГРАДИНА № 185 "ЗВЕЗДИЧКА"</t>
  </si>
  <si>
    <t xml:space="preserve">гр. София, ж.к. "Дружба-2", ул. "Ханс Кр. Андерсен" № 6</t>
  </si>
  <si>
    <t xml:space="preserve">000677080</t>
  </si>
  <si>
    <t xml:space="preserve">02/9791138; 02/9732463; 0884801505</t>
  </si>
  <si>
    <t xml:space="preserve">odz85@abv.bg</t>
  </si>
  <si>
    <t xml:space="preserve">https://www.dg185.bg</t>
  </si>
  <si>
    <t xml:space="preserve">Милена Милева Русинова</t>
  </si>
  <si>
    <t xml:space="preserve">2215/03.08.2018 г.</t>
  </si>
  <si>
    <t xml:space="preserve">ж.к. "Дружба-2", ул. "Ханс Кр. Андерсен" № 6;
тел. 02/9791138; 02/9732463</t>
  </si>
  <si>
    <t xml:space="preserve">бул. "Цариградско шосе" № 387;
тел.: 02/9746514</t>
  </si>
  <si>
    <t xml:space="preserve">1. "Зелена София"; 2. "Играем и спортуваме за здраве"</t>
  </si>
  <si>
    <t xml:space="preserve">"Магията на сенките" номер 2019-1-BG01-KA101-061607, по програма "Еразъм+", ключова дейност 1</t>
  </si>
  <si>
    <t xml:space="preserve">"Лидерство и мениджмънт в образованието"</t>
  </si>
  <si>
    <t xml:space="preserve">Създаване на електронни учебни помагала за икнтерактивни сензорни дисплеи/дъски; Специфични умения за работа в комисия по БДП (1); Методика на обучението по БДП (4); Планиране, организация и контрол на обучението по БДП (1);                                                       Трудови отношения в ДГ (1); Агресията в училищна среда - начини и техники за справяне (22)</t>
  </si>
  <si>
    <t xml:space="preserve">Взаимодействие на образователните инцтитуции с родителите на децата и учениците</t>
  </si>
  <si>
    <t xml:space="preserve">СОА19-ВК08-14491-[156]/18.11.2019</t>
  </si>
  <si>
    <t xml:space="preserve">ДЕТСКА ГРАДИНА № 186 "ДЕНИЦА"</t>
  </si>
  <si>
    <t xml:space="preserve">ж.к. "Младост-2", ул. "Малкият принц" № 4 </t>
  </si>
  <si>
    <t xml:space="preserve">000673865</t>
  </si>
  <si>
    <t xml:space="preserve">02/ 967 60 58</t>
  </si>
  <si>
    <t xml:space="preserve">odzdenica@abv.bg</t>
  </si>
  <si>
    <t xml:space="preserve">denica186.com</t>
  </si>
  <si>
    <t xml:space="preserve">Антоанета Иванова Кръстанова</t>
  </si>
  <si>
    <t xml:space="preserve">ДС № 2137/29.01.1981, № 31/17.09.1986</t>
  </si>
  <si>
    <t xml:space="preserve">2019 г. "Правилата знам, мога да се движа безопасно" - изграждане на интерактивен кабинет  по БДв. </t>
  </si>
  <si>
    <t xml:space="preserve">Външноинституционалана квалификация - тренинг, обучение, семинар</t>
  </si>
  <si>
    <t xml:space="preserve">Вътрешноинституционалана квалификация - тренинг, обучение, семинар</t>
  </si>
  <si>
    <t xml:space="preserve">СОА19-ВК08-14491-[46]/12.11.2019</t>
  </si>
  <si>
    <t xml:space="preserve">ДЕТСКА ГРАДИНА № 187 "ЖАР ПТИЦА"</t>
  </si>
  <si>
    <t xml:space="preserve">ул. "Добротич" № 48 </t>
  </si>
  <si>
    <t xml:space="preserve">000675250</t>
  </si>
  <si>
    <t xml:space="preserve">02/822 9360</t>
  </si>
  <si>
    <t xml:space="preserve">odz40@abv.bg</t>
  </si>
  <si>
    <t xml:space="preserve">dg187jarptica.com</t>
  </si>
  <si>
    <t xml:space="preserve">Аксиния Христова Петкова</t>
  </si>
  <si>
    <t xml:space="preserve">Акт №16/26.02.1997г.</t>
  </si>
  <si>
    <t xml:space="preserve">ул. "Добротич" № 48 , тел: 02/822 9360</t>
  </si>
  <si>
    <t xml:space="preserve">Методика на БДП</t>
  </si>
  <si>
    <t xml:space="preserve">Училищното и предучилищно образование-реалност,  инованивни подходи ...</t>
  </si>
  <si>
    <t xml:space="preserve">СОА19-ВК08-14491-[173]/18.11.2019</t>
  </si>
  <si>
    <t xml:space="preserve">ДЕТСКА ГРАДИНА № 188 "ВЯРА, НАДЕЖДА, ЛЮБОВ"</t>
  </si>
  <si>
    <t xml:space="preserve">гр. София ж.к. Младост ул. "Бъднина" № 17</t>
  </si>
  <si>
    <t xml:space="preserve">000676078</t>
  </si>
  <si>
    <t xml:space="preserve">02 874 00 56</t>
  </si>
  <si>
    <t xml:space="preserve">odz188@abv.bg</t>
  </si>
  <si>
    <t xml:space="preserve">dg188.info</t>
  </si>
  <si>
    <t xml:space="preserve">Славка Иванова Костова</t>
  </si>
  <si>
    <t xml:space="preserve">Акт № 2026 за Публична общинска собственост от 24.04.2014 г.</t>
  </si>
  <si>
    <t xml:space="preserve">ж.к. "Младост", ул. "Бъднина" № 17, тел. 02/874 00 56</t>
  </si>
  <si>
    <t xml:space="preserve">1. "Моята зелена детска градина"; 2. Проект за спортни дейности по ПМС № 129</t>
  </si>
  <si>
    <t xml:space="preserve">1. "Училищен плод"; 2. "Училищно мляко"; 3. "Активно приобщаване в системата на предучилищното образование"</t>
  </si>
  <si>
    <t xml:space="preserve">Безопасни и здравословни условия на труд и отглеждане на деца в детската градина</t>
  </si>
  <si>
    <t xml:space="preserve">Техники за работа с родители</t>
  </si>
  <si>
    <t xml:space="preserve">СОА19-ВК08-14491-[4]/08.11.2019</t>
  </si>
  <si>
    <t xml:space="preserve">ДЕТСКА ГРАДИНА № 189 "СТО УСМИВКИ"</t>
  </si>
  <si>
    <t xml:space="preserve">ж.к. "Младост-1", ул. "Сто усмивки" № 4 </t>
  </si>
  <si>
    <t xml:space="preserve">0882692669</t>
  </si>
  <si>
    <t xml:space="preserve">189gradina@gmail.com</t>
  </si>
  <si>
    <t xml:space="preserve">www.100smiles.eu</t>
  </si>
  <si>
    <t xml:space="preserve">Лилия Романова Костова</t>
  </si>
  <si>
    <t xml:space="preserve">Заповед № СО-РД-09-1400/13.06.2014</t>
  </si>
  <si>
    <t xml:space="preserve">1. ИКТ в Образованието; 2. ПМС 129</t>
  </si>
  <si>
    <t xml:space="preserve">квалификационен курс</t>
  </si>
  <si>
    <t xml:space="preserve">обучение с кредити</t>
  </si>
  <si>
    <t xml:space="preserve">СОА19-ВК08-14491-[182]/18.11.2019</t>
  </si>
  <si>
    <t xml:space="preserve">ДЕТСКА ГРАДИНА № 191 "ПРИКАЗКА БЕЗ КРАЙ"</t>
  </si>
  <si>
    <t xml:space="preserve">ул. "Мадарски конник" № 7 </t>
  </si>
  <si>
    <t xml:space="preserve">121480895</t>
  </si>
  <si>
    <t xml:space="preserve">02/9446481</t>
  </si>
  <si>
    <t xml:space="preserve">dg_191@abv.bg</t>
  </si>
  <si>
    <t xml:space="preserve">www.odz60.com</t>
  </si>
  <si>
    <t xml:space="preserve">Слава Бориславова Василева</t>
  </si>
  <si>
    <t xml:space="preserve">АОС № 505/01.01.1970 (осн.сграда); 
АОС № 909/01.01.1963 (филиал); 
АОС № 1010/01.01.2011 (нова сграда)</t>
  </si>
  <si>
    <t xml:space="preserve">ул." Мадарски конник" №7; тел. 02/9446481 (основна сграда)</t>
  </si>
  <si>
    <t xml:space="preserve">ул. "Мадарски конник" № 7; тел. 02/9446481 (нова сграда)</t>
  </si>
  <si>
    <t xml:space="preserve">ул. "Васил Друмев" № 34; тел. 02/9444828 (филиал)</t>
  </si>
  <si>
    <t xml:space="preserve">квалификационен семинар за повишаване на квалификацията с  РААБЕ </t>
  </si>
  <si>
    <t xml:space="preserve">обучителен курс за пом.възпитатели</t>
  </si>
  <si>
    <t xml:space="preserve">квалификация с РУО</t>
  </si>
  <si>
    <t xml:space="preserve">СОА19-ВК08-14491-[113]/14.11.2019</t>
  </si>
  <si>
    <t xml:space="preserve">ДЕТСКА ГРАДИНА № 192 "ЛОЗИЧКА"</t>
  </si>
  <si>
    <t xml:space="preserve">София, ул. "Розова долина" № 12А</t>
  </si>
  <si>
    <t xml:space="preserve">000666753</t>
  </si>
  <si>
    <t xml:space="preserve">02 8661358</t>
  </si>
  <si>
    <t xml:space="preserve">dg192@abv.bg</t>
  </si>
  <si>
    <t xml:space="preserve">www.dg192.bg</t>
  </si>
  <si>
    <t xml:space="preserve">Гергана Августова Цанева</t>
  </si>
  <si>
    <t xml:space="preserve">№4715/12.05.2004</t>
  </si>
  <si>
    <t xml:space="preserve">ул. "Розова долина" № 12А</t>
  </si>
  <si>
    <t xml:space="preserve">"Хей, конче - приятел ми стани" - с дирекция ПИСТ</t>
  </si>
  <si>
    <t xml:space="preserve">Лидерство и работа в екип</t>
  </si>
  <si>
    <t xml:space="preserve">Обучение за лични данни</t>
  </si>
  <si>
    <t xml:space="preserve">Ранни предикатори за обучителни трудности</t>
  </si>
  <si>
    <t xml:space="preserve">СОА19-ВК08-14491-[83]/13.11.2019</t>
  </si>
  <si>
    <t xml:space="preserve">ДЕТСКА ГРАДИНА № 193 "СЛАВЕЙЧЕ"</t>
  </si>
  <si>
    <t xml:space="preserve">ул. "Kап. Тодор Hочев" № 30 </t>
  </si>
  <si>
    <t xml:space="preserve">000666760</t>
  </si>
  <si>
    <t xml:space="preserve">02/862 30 49; 0884 801 533</t>
  </si>
  <si>
    <t xml:space="preserve">dg193@abv.bg</t>
  </si>
  <si>
    <t xml:space="preserve">http://www.dg193.com</t>
  </si>
  <si>
    <t xml:space="preserve">Катя Кирилова Цолова</t>
  </si>
  <si>
    <t xml:space="preserve">№ 6065/12.04.1968 г.</t>
  </si>
  <si>
    <t xml:space="preserve">ул. "Кап. Тодор Ночев" № 30, тел. 02/427 40 45, 02/862 30 49</t>
  </si>
  <si>
    <t xml:space="preserve">Най-новите информационни технологии в процеса на обучение</t>
  </si>
  <si>
    <t xml:space="preserve">Ранно оценяване на риска от проблеми в развитието и обучението на 3 г. деца със скрининг тест</t>
  </si>
  <si>
    <t xml:space="preserve">СОА19-ВК08-14491-[162]/18.11.2019</t>
  </si>
  <si>
    <t xml:space="preserve">ДЕТСКА ГРАДИНА № 194 "МИЛУВКА"</t>
  </si>
  <si>
    <t xml:space="preserve">ул. "Овче поле" № 123</t>
  </si>
  <si>
    <t xml:space="preserve">000666536</t>
  </si>
  <si>
    <t xml:space="preserve">02/8310324</t>
  </si>
  <si>
    <t xml:space="preserve">dg_194@abv.bg</t>
  </si>
  <si>
    <t xml:space="preserve">www.dg194.com</t>
  </si>
  <si>
    <t xml:space="preserve">ГАЛИНКА ИВАНОВА ХРИСТОВА</t>
  </si>
  <si>
    <t xml:space="preserve">308/09.11.1998г</t>
  </si>
  <si>
    <t xml:space="preserve">гр. София, ул. "Овчо поле" № 123</t>
  </si>
  <si>
    <t xml:space="preserve">"Игри и упражнения за снемане на напрежението"</t>
  </si>
  <si>
    <t xml:space="preserve">"Трудови правоотношения" и "Методи и техники за включване на родителите"</t>
  </si>
  <si>
    <t xml:space="preserve">СОА19-ВК08-14491-[120]/14.11.2019</t>
  </si>
  <si>
    <t xml:space="preserve">ДЕТСКА ГРАДИНА № 195 "БРАТЯ МОРМАРЕВИ"</t>
  </si>
  <si>
    <t xml:space="preserve">ул. "Врабча" № 7 </t>
  </si>
  <si>
    <t xml:space="preserve">121493615</t>
  </si>
  <si>
    <t xml:space="preserve">02/988 32 95</t>
  </si>
  <si>
    <t xml:space="preserve">dg195@abv.bg</t>
  </si>
  <si>
    <t xml:space="preserve">dg195.com</t>
  </si>
  <si>
    <t xml:space="preserve">Антонета Трендафилова Малинова</t>
  </si>
  <si>
    <t xml:space="preserve">554, 1118, 1158</t>
  </si>
  <si>
    <t xml:space="preserve">ул. "Врабча" № 7, тел. 02/988 32 95</t>
  </si>
  <si>
    <t xml:space="preserve">ул. "Дунав" № 5А, тел. 02/988 41 61</t>
  </si>
  <si>
    <t xml:space="preserve">ул. "Победа" № 3, тел. 0885 04 38 30</t>
  </si>
  <si>
    <t xml:space="preserve">Приобщаващо образование в детската градина</t>
  </si>
  <si>
    <t xml:space="preserve">СОА19-ВК08-14491-[213]/10.12.2019</t>
  </si>
  <si>
    <t xml:space="preserve">ДЕТСКА ГРАДИНА № 196 "ШАРЛ ПЕРО"</t>
  </si>
  <si>
    <t xml:space="preserve">ул. "Братин дол" № 7 </t>
  </si>
  <si>
    <t xml:space="preserve">000666041</t>
  </si>
  <si>
    <t xml:space="preserve">0884801560 или 02/822-17-87</t>
  </si>
  <si>
    <t xml:space="preserve">cdg6_pero@abv.bg</t>
  </si>
  <si>
    <t xml:space="preserve">dugata.wordpress.com</t>
  </si>
  <si>
    <t xml:space="preserve">Петя Ангелова Благоева</t>
  </si>
  <si>
    <t xml:space="preserve">№ 22/22.02.1997 г.</t>
  </si>
  <si>
    <t xml:space="preserve">ул. "Братин дол" № 7; 02/822-17-87</t>
  </si>
  <si>
    <t xml:space="preserve">10.12.2019 г.</t>
  </si>
  <si>
    <t xml:space="preserve">СОА19-ВК08-14491-[59]/12.11.2019</t>
  </si>
  <si>
    <t xml:space="preserve">ДЕТСКА ГРАДИНА № 197 "КИТНА ГРАДИНА"</t>
  </si>
  <si>
    <t xml:space="preserve">кв. "Филиповци", ул. "Поручик Хранов" № 5 </t>
  </si>
  <si>
    <t xml:space="preserve">000666792</t>
  </si>
  <si>
    <t xml:space="preserve">02-825-50-09 ; 0884-801-687</t>
  </si>
  <si>
    <t xml:space="preserve">kitnagradina97@abv.bg</t>
  </si>
  <si>
    <t xml:space="preserve">http://97.cdg.bg/</t>
  </si>
  <si>
    <t xml:space="preserve">Виолета Николова Караденчева</t>
  </si>
  <si>
    <t xml:space="preserve">1408/12.12.1996 год.</t>
  </si>
  <si>
    <t xml:space="preserve">Вътрешноинституционална квалификация-дикусия,практикум и семинар</t>
  </si>
  <si>
    <t xml:space="preserve">Външноинституционална квалификация-семинари</t>
  </si>
  <si>
    <t xml:space="preserve">СОА19-ВК08-14491-[202]/25.11.2019</t>
  </si>
  <si>
    <t xml:space="preserve">ДЕТСКА ГРАДИНА № 198 "КОСЕ БОСЕ"</t>
  </si>
  <si>
    <t xml:space="preserve">ул. "Войводово" № 4 </t>
  </si>
  <si>
    <t xml:space="preserve">177106113</t>
  </si>
  <si>
    <t xml:space="preserve">0884200659</t>
  </si>
  <si>
    <t xml:space="preserve">dg_kosebose@abv.bg</t>
  </si>
  <si>
    <t xml:space="preserve">http://dg198-kosebose.com/</t>
  </si>
  <si>
    <t xml:space="preserve">Радка Иванова Панайотова</t>
  </si>
  <si>
    <t xml:space="preserve">3120/24.10.2016г.</t>
  </si>
  <si>
    <t xml:space="preserve">Семинари: вътрешноинституционални 1 бр.</t>
  </si>
  <si>
    <t xml:space="preserve">Тренинги: 1 бр.</t>
  </si>
  <si>
    <t xml:space="preserve">21.11.2019 г.</t>
  </si>
  <si>
    <t xml:space="preserve">СОА19-ВК08-15476/26.11.2019</t>
  </si>
  <si>
    <t xml:space="preserve">ДЕТСКА ГРАДИНА № 199 "САРАГОСА"</t>
  </si>
  <si>
    <t xml:space="preserve">ул. "Струга" № 15А</t>
  </si>
  <si>
    <t xml:space="preserve">000666422</t>
  </si>
  <si>
    <t xml:space="preserve">0885 208 948</t>
  </si>
  <si>
    <t xml:space="preserve">saragosa51@abv.bg</t>
  </si>
  <si>
    <t xml:space="preserve">saragosa199.com</t>
  </si>
  <si>
    <t xml:space="preserve">Александра Григорова Атанасова</t>
  </si>
  <si>
    <t xml:space="preserve">1732 / 29.11.2016 г.</t>
  </si>
  <si>
    <t xml:space="preserve">гр. София ул. "Струга" № 15А, тел. 02/8313140</t>
  </si>
  <si>
    <t xml:space="preserve">Семинар "Трудово правни отношения в ДГ"</t>
  </si>
  <si>
    <t xml:space="preserve">Семинар "Атестиране на педагогическите специалисти; Наредба 15; Портфолио"</t>
  </si>
  <si>
    <t xml:space="preserve">СОА19-ВК08-14491-[152]/15.11.2019</t>
  </si>
  <si>
    <t xml:space="preserve">ДЕТСКА ГРАДИНА № 200 "ЦВЕТЕН РАЙ"</t>
  </si>
  <si>
    <t xml:space="preserve">ж.к. "Люлин-10", ул. "Димитър Талев" № 2 </t>
  </si>
  <si>
    <t xml:space="preserve">0885922832</t>
  </si>
  <si>
    <t xml:space="preserve">dg_200@abv.bg</t>
  </si>
  <si>
    <t xml:space="preserve">http://200.deckagradina.info</t>
  </si>
  <si>
    <t xml:space="preserve">Детелина Минкова Йорданова</t>
  </si>
  <si>
    <t xml:space="preserve">№ 7841</t>
  </si>
  <si>
    <t xml:space="preserve">(empty)</t>
  </si>
  <si>
    <t xml:space="preserve">Деца</t>
  </si>
  <si>
    <t xml:space="preserve">Градинки</t>
  </si>
  <si>
    <t xml:space="preserve">Деца на Градинка</t>
  </si>
  <si>
    <t xml:space="preserve">Total Result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</si>
</sst>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dd\.mm\.yyyy&quot; г.&quot;;@"/>
    <numFmt numFmtId="167" formatCode="m/d/yyyy"/>
    <numFmt numFmtId="168" formatCode="#,##0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12"/>
      <name val="Calibri"/>
      <family val="2"/>
      <charset val="204"/>
    </font>
    <font>
      <b val="true"/>
      <i val="true"/>
      <sz val="12"/>
      <color theme="0" tint="-0.25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b val="true"/>
      <i val="true"/>
      <sz val="12"/>
      <color theme="0" tint="-0.35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5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top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18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>
          <bgColor theme="9" tint="0.7999"/>
        </patternFill>
      </fill>
    </dxf>
    <dxf>
      <fill>
        <patternFill>
          <bgColor theme="9" tint="0.7999"/>
        </patternFill>
      </fill>
    </dxf>
    <dxf>
      <fill>
        <patternFill>
          <bgColor theme="9" tint="0.7999"/>
        </patternFill>
      </fill>
    </dxf>
    <dxf>
      <fill>
        <patternFill>
          <bgColor theme="9" tint="0.7999"/>
        </patternFill>
      </fill>
    </dxf>
    <dxf>
      <fill>
        <patternFill>
          <bgColor theme="9" tint="0.7999"/>
        </patternFill>
      </fill>
    </dxf>
    <dxf>
      <fill>
        <patternFill>
          <bgColor theme="9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4" createdVersion="3">
  <cacheSource type="worksheet">
    <worksheetSource ref="A1:BJ195" sheet="Лист1"/>
  </cacheSource>
  <cacheFields count="62">
    <cacheField name="Регистрационен номер на вписване №/г." numFmtId="0">
      <sharedItems count="194">
        <s v="ДГ20-ЛД01-1-[1]/15.11.2019"/>
        <s v="РНД19-УЗ21-208/13.11.2019"/>
        <s v="СОА19-ВК08-14491-[1]/06.11.2019"/>
        <s v="СОА19-ВК08-14491-[10]/08.11.2019"/>
        <s v="СОА19-ВК08-14491-[100]/13.11.2019"/>
        <s v="СОА19-ВК08-14491-[101]/13.11.2019"/>
        <s v="СОА19-ВК08-14491-[102]/13.11.2019"/>
        <s v="СОА19-ВК08-14491-[103]/13.11.2019"/>
        <s v="СОА19-ВК08-14491-[104]/13.11.2019"/>
        <s v="СОА19-ВК08-14491-[105]/14.11.2019"/>
        <s v="СОА19-ВК08-14491-[106]/14.11.2019"/>
        <s v="СОА19-ВК08-14491-[108]/14.11.2019"/>
        <s v="СОА19-ВК08-14491-[109]/14.11.2019"/>
        <s v="СОА19-ВК08-14491-[11]/08.11.2019"/>
        <s v="СОА19-ВК08-14491-[110]/14.11.2019"/>
        <s v="СОА19-ВК08-14491-[111]/14.11.2019"/>
        <s v="СОА19-ВК08-14491-[112]/14.11.2019"/>
        <s v="СОА19-ВК08-14491-[113]/14.11.2019"/>
        <s v="СОА19-ВК08-14491-[114]/14.11.2019"/>
        <s v="СОА19-ВК08-14491-[115]/14.11.2019"/>
        <s v="СОА19-ВК08-14491-[116]/14.11.2019"/>
        <s v="СОА19-ВК08-14491-[119]/14.11.2019"/>
        <s v="СОА19-ВК08-14491-[12]/08.11.2019"/>
        <s v="СОА19-ВК08-14491-[120]/14.11.2019"/>
        <s v="СОА19-ВК08-14491-[121]/14.11.2019"/>
        <s v="СОА19-ВК08-14491-[122]/14.11.2019"/>
        <s v="СОА19-ВК08-14491-[123]/14.11.2019"/>
        <s v="СОА19-ВК08-14491-[124]/14.11.2019"/>
        <s v="СОА19-ВК08-14491-[125]/14.11.2019"/>
        <s v="СОА19-ВК08-14491-[126]/14.11.2019"/>
        <s v="СОА19-ВК08-14491-[127]/14.11.2019"/>
        <s v="СОА19-ВК08-14491-[128]/14.11.2019"/>
        <s v="СОА19-ВК08-14491-[129]/14.11.2019"/>
        <s v="СОА19-ВК08-14491-[13]/08.11.2019"/>
        <s v="СОА19-ВК08-14491-[130]/14.11.2019"/>
        <s v="СОА19-ВК08-14491-[133]/15.11.2019"/>
        <s v="СОА19-ВК08-14491-[134]/15.11.2019"/>
        <s v="СОА19-ВК08-14491-[136]/15.11.2019"/>
        <s v="СОА19-ВК08-14491-[138]/15.11.2019"/>
        <s v="СОА19-ВК08-14491-[139]/15.11.2019"/>
        <s v="СОА19-ВК08-14491-[14]/08.11.2019"/>
        <s v="СОА19-ВК08-14491-[140]/15.11.2019"/>
        <s v="СОА19-ВК08-14491-[141]/15.11.2019"/>
        <s v="СОА19-ВК08-14491-[142]/15.11.2019"/>
        <s v="СОА19-ВК08-14491-[143]/15.11.2019"/>
        <s v="СОА19-ВК08-14491-[144]/15.11.2019"/>
        <s v="СОА19-ВК08-14491-[145]/15.11.2019"/>
        <s v="СОА19-ВК08-14491-[147]/15.11.2019"/>
        <s v="СОА19-ВК08-14491-[148]/15.11.2019"/>
        <s v="СОА19-ВК08-14491-[149]/15.11.2019"/>
        <s v="СОА19-ВК08-14491-[15]/08.11.2019"/>
        <s v="СОА19-ВК08-14491-[150]/15.11.2019"/>
        <s v="СОА19-ВК08-14491-[152]/15.11.2019"/>
        <s v="СОА19-ВК08-14491-[154]/15.11.2019"/>
        <s v="СОА19-ВК08-14491-[155]/18.11.2019"/>
        <s v="СОА19-ВК08-14491-[156]/18.11.2019"/>
        <s v="СОА19-ВК08-14491-[157]/18.11.2019"/>
        <s v="СОА19-ВК08-14491-[158]/18.11.2019"/>
        <s v="СОА19-ВК08-14491-[159]/18.11.2019"/>
        <s v="СОА19-ВК08-14491-[16]/08.11.2019"/>
        <s v="СОА19-ВК08-14491-[160]/18.11.2019"/>
        <s v="СОА19-ВК08-14491-[161]/18.11.2019"/>
        <s v="СОА19-ВК08-14491-[162]/18.11.2019"/>
        <s v="СОА19-ВК08-14491-[163]/18.11.2019"/>
        <s v="СОА19-ВК08-14491-[164]/18.11.2019"/>
        <s v="СОА19-ВК08-14491-[165]/18.11.2019"/>
        <s v="СОА19-ВК08-14491-[166]/18.11.2019"/>
        <s v="СОА19-ВК08-14491-[169]/18.11.2019"/>
        <s v="СОА19-ВК08-14491-[17]/08.11.2019"/>
        <s v="СОА19-ВК08-14491-[170]/18.11.2019"/>
        <s v="СОА19-ВК08-14491-[171]/18.11.2019"/>
        <s v="СОА19-ВК08-14491-[173]/18.11.2019"/>
        <s v="СОА19-ВК08-14491-[175]/18.11.2019"/>
        <s v="СОА19-ВК08-14491-[176]/18.11.2019"/>
        <s v="СОА19-ВК08-14491-[177]/18.11.2019"/>
        <s v="СОА19-ВК08-14491-[178]/18.11.2019"/>
        <s v="СОА19-ВК08-14491-[179]/18.11.2019"/>
        <s v="СОА19-ВК08-14491-[18]/11.11.2019"/>
        <s v="СОА19-ВК08-14491-[180]/18.11.2019"/>
        <s v="СОА19-ВК08-14491-[181]/18.11.2019"/>
        <s v="СОА19-ВК08-14491-[182]/18.11.2019"/>
        <s v="СОА19-ВК08-14491-[183]/18.11.2019"/>
        <s v="СОА19-ВК08-14491-[184]/18.11.2019"/>
        <s v="СОА19-ВК08-14491-[185]/18.11.2019"/>
        <s v="СОА19-ВК08-14491-[186]/19.11.2019"/>
        <s v="СОА19-ВК08-14491-[19]/11.11.2019"/>
        <s v="СОА19-ВК08-14491-[193]/19.11.2019"/>
        <s v="СОА19-ВК08-14491-[194]/19.11.2019"/>
        <s v="СОА19-ВК08-14491-[198]/20.11.2019 г."/>
        <s v="СОА19-ВК08-14491-[20]/11.11.2019"/>
        <s v="СОА19-ВК08-14491-[200]/22.11.2019"/>
        <s v="СОА19-ВК08-14491-[202]/25.11.2019"/>
        <s v="СОА19-ВК08-14491-[204]/26.11.2019"/>
        <s v="СОА19-ВК08-14491-[205]/26.11.2019"/>
        <s v="СОА19-ВК08-14491-[206]/27.11.2019"/>
        <s v="СОА19-ВК08-14491-[207]/27.11.2019"/>
        <s v="СОА19-ВК08-14491-[208]/27.11.2019"/>
        <s v="СОА19-ВК08-14491-[209]/27.11.2019"/>
        <s v="СОА19-ВК08-14491-[21]/11.11.2019"/>
        <s v="СОА19-ВК08-14491-[210]/28.11.2019"/>
        <s v="СОА19-ВК08-14491-[211]/28.11.2019"/>
        <s v="СОА19-ВК08-14491-[212]/29.11.2019"/>
        <s v="СОА19-ВК08-14491-[213]/10.12.2019"/>
        <s v="СОА19-ВК08-14491-[214]/11.12.2019"/>
        <s v="СОА19-ВК08-14491-[215]/11.12.2019"/>
        <s v="СОА19-ВК08-14491-[216]/13.12.2019"/>
        <s v="СОА19-ВК08-14491-[217]/13.12.2019"/>
        <s v="СОА19-ВК08-14491-[218]/13.12.2019"/>
        <s v="СОА19-ВК08-14491-[219]/13.12.2019"/>
        <s v="СОА19-ВК08-14491-[22]/11.11.2019"/>
        <s v="СОА19-ВК08-14491-[220]/13.12.2019"/>
        <s v="СОА19-ВК08-14491-[221]/13.12.2019"/>
        <s v="СОА19-ВК08-14491-[222]/13.12.2019"/>
        <s v="СОА19-ВК08-14491-[224]/28.01.2020"/>
        <s v="СОА19-ВК08-14491-[225]/28.01.2020"/>
        <s v="СОА19-ВК08-14491-[226]/05.02.2020"/>
        <s v="СОА19-ВК08-14491-[24]/11.11.2019"/>
        <s v="СОА19-ВК08-14491-[25]/11.11.2019"/>
        <s v="СОА19-ВК08-14491-[26]/11.11.2019"/>
        <s v="СОА19-ВК08-14491-[28]/11.11.2019"/>
        <s v="СОА19-ВК08-14491-[29]/11.11.2019"/>
        <s v="СОА19-ВК08-14491-[3]/08.11.2019"/>
        <s v="СОА19-ВК08-14491-[32]/12.11.2019"/>
        <s v="СОА19-ВК08-14491-[33]/12.11.2019"/>
        <s v="СОА19-ВК08-14491-[35]/12.11.2019"/>
        <s v="СОА19-ВК08-14491-[36]/12.11.2019"/>
        <s v="СОА19-ВК08-14491-[37]/12.11.2019"/>
        <s v="СОА19-ВК08-14491-[38]/12.11.2019"/>
        <s v="СОА19-ВК08-14491-[4]/08.11.2019"/>
        <s v="СОА19-ВК08-14491-[40]/12.11.2019"/>
        <s v="СОА19-ВК08-14491-[41]/12.11.2019"/>
        <s v="СОА19-ВК08-14491-[44]/12.11.2019"/>
        <s v="СОА19-ВК08-14491-[45]/12.11.2019"/>
        <s v="СОА19-ВК08-14491-[46]/12.11.2019"/>
        <s v="СОА19-ВК08-14491-[47]/12.11.2019"/>
        <s v="СОА19-ВК08-14491-[48]/12.11.2019"/>
        <s v="СОА19-ВК08-14491-[49]/12.11.2019"/>
        <s v="СОА19-ВК08-14491-[5]/08.11.2019"/>
        <s v="СОА19-ВК08-14491-[51]/12.11.2019"/>
        <s v="СОА19-ВК08-14491-[52]/12.11.2019"/>
        <s v="СОА19-ВК08-14491-[53]/12.11.2019"/>
        <s v="СОА19-ВК08-14491-[54]/12.11.2019 "/>
        <s v="СОА19-ВК08-14491-[56]/12.11.2019"/>
        <s v="СОА19-ВК08-14491-[58]/12.11.2019"/>
        <s v="СОА19-ВК08-14491-[59]/12.11.2019"/>
        <s v="СОА19-ВК08-14491-[6]/08.11.2019"/>
        <s v="СОА19-ВК08-14491-[60]/12.11.2019"/>
        <s v="СОА19-ВК08-14491-[61]/12.11.2019"/>
        <s v="СОА19-ВК08-14491-[63]/12.11.2019"/>
        <s v="СОА19-ВК08-14491-[65]/12.11.2019"/>
        <s v="СОА19-ВК08-14491-[69]/13.11.2019"/>
        <s v="СОА19-ВК08-14491-[7]/08.11.2019"/>
        <s v="СОА19-ВК08-14491-[70]/13.11.2019"/>
        <s v="СОА19-ВК08-14491-[71]/13.11.2019"/>
        <s v="СОА19-ВК08-14491-[72]/13.11.2019"/>
        <s v="СОА19-ВК08-14491-[73]/13.11.2019"/>
        <s v="СОА19-ВК08-14491-[75]/13.11.2019"/>
        <s v="СОА19-ВК08-14491-[76]/13.11.2019"/>
        <s v="СОА19-ВК08-14491-[77]/13.11.2019"/>
        <s v="СОА19-ВК08-14491-[78]/13.11.2019"/>
        <s v="СОА19-ВК08-14491-[79]/13.11.2019"/>
        <s v="СОА19-ВК08-14491-[8]/08.11.2019"/>
        <s v="СОА19-ВК08-14491-[80]/13.11.2019"/>
        <s v="СОА19-ВК08-14491-[81]/13.11.2019"/>
        <s v="СОА19-ВК08-14491-[82]/13.11.2019"/>
        <s v="СОА19-ВК08-14491-[83]/13.11.2019"/>
        <s v="СОА19-ВК08-14491-[84]/13.11.2019"/>
        <s v="СОА19-ВК08-14491-[85]/13.11.2019"/>
        <s v="СОА19-ВК08-14491-[86]/13.11.2019"/>
        <s v="СОА19-ВК08-14491-[87]/13.11.2019"/>
        <s v="СОА19-ВК08-14491-[88]/13.11.2019"/>
        <s v="СОА19-ВК08-14491-[89]/13.11.2019"/>
        <s v="СОА19-ВК08-14491-[90]/13.11.2019"/>
        <s v="СОА19-ВК08-14491-[91]/13.11.2019"/>
        <s v="СОА19-ВК08-14491-[92]/13.11.2019"/>
        <s v="СОА19-ВК08-14491-[93]/13.11.2019"/>
        <s v="СОА19-ВК08-14491-[94]/13.11.2019"/>
        <s v="СОА19-ВК08-14491-[95]/13.11.2019"/>
        <s v="СОА19-ВК08-14491-[96]/13.11.2019"/>
        <s v="СОА19-ВК08-14491-[97]/13.11.2019"/>
        <s v="СОА19-ВК08-14491-[98]/13.11.2019"/>
        <s v="СОА19-ВК08-14491-[99]/13.11.2019"/>
        <s v="СОА19-ВК08-15476/26.11.2019"/>
        <s v="СОА19-УЗ21-1940/13.11.2019"/>
        <s v="СОА19-УЗ21-1944/14.11.2019"/>
        <s v="СОА19-УЗ21-1948/14.11.2019"/>
        <s v="СОА19-УЗ21-1949-[1]/14.11.2019"/>
        <s v="СОА19-УЗ21-1952/15.11.2019"/>
        <s v="СОА19-УЗ21-1963/18.11.2019 г."/>
        <s v="СОА19-УЗ21-2033/26.11.2019"/>
        <s v="СОА19-УЗ21-2034/26.11.2019"/>
        <s v="СОА19-УЗ21-2144/10.12.2019"/>
        <s v="СОА20-УЗ21-115/24.01.2020 г."/>
        <s v="СОА20-УЗ21-117/24.01.2020 г."/>
      </sharedItems>
    </cacheField>
    <cacheField name="Наименование на градината" numFmtId="0">
      <sharedItems count="194">
        <s v="ДЕТСКА ГРАДИНА № 1"/>
        <s v="ДЕТСКА ГРАДИНА № 10 &quot;ЧЕБУРАШКА&quot;"/>
        <s v="ДЕТСКА ГРАДИНА № 100 &quot;АКАД. ПЕНЧО Н. РАЙКОВ&quot;"/>
        <s v="ДЕТСКА ГРАДИНА № 101 &quot;ЯБЪЛКОВА ГРАДИНА&quot;"/>
        <s v="ДЕТСКА ГРАДИНА № 102 &quot;КРЕМЕНИЦА&quot;"/>
        <s v="ДЕТСКА ГРАДИНА № 103 &quot;ПАТИЛАНСКО ЦАРСТВО&quot;"/>
        <s v="ДЕТСКА ГРАДИНА № 104 &quot;МОЯТ СВЯТ&quot;"/>
        <s v="ДЕТСКА ГРАДИНА № 105 &quot;РАКЕТА&quot;"/>
        <s v="ДЕТСКА ГРАДИНА № 106 &quot;КНЯГИНЯ МАРИЯ-ЛУИЗА&quot;"/>
        <s v="ДЕТСКА ГРАДИНА № 107 &quot;БОН-БОН&quot;"/>
        <s v="ДЕТСКА ГРАДИНА № 108 &quot;ДЕТСКО ЦАРСТВО&quot;"/>
        <s v="ДЕТСКА ГРАДИНА № 109 &quot;ЗОРНИЦА&quot;"/>
        <s v="ДЕТСКА ГРАДИНА № 11 &quot;МИКИ МАУС&quot;"/>
        <s v="ДЕТСКА ГРАДИНА № 110 &quot;СЛЪНЧЕВА МЕЧТА&quot;"/>
        <s v="ДЕТСКА ГРАДИНА № 111 &quot;КОРАБЧЕ&quot;"/>
        <s v="ДЕТСКА ГРАДИНА № 112 &quot;ДЕТСКИ СВЯТ&quot;"/>
        <s v="ДЕТСКА ГРАДИНА № 113 &quot;ПРЕСПА&quot;"/>
        <s v="ДЕТСКА ГРАДИНА № 114 &quot;СВЕТУЛКА&quot;"/>
        <s v="ДЕТСКА ГРАДИНА № 115 &quot;ОСМИ МАРТ&quot;"/>
        <s v="ДЕТСКА ГРАДИНА № 116 &quot;МУСАЛА&quot;"/>
        <s v="ДЕТСКА ГРАДИНА № 117 &quot;НАДЕЖДА&quot;"/>
        <s v="ДЕТСКА ГРАДИНА № 118 &quot;УСМИВКА&quot;"/>
        <s v="ДЕТСКА ГРАДИНА № 119 &quot;ДЕТСКА ПЛАНЕТА&quot;"/>
        <s v="ДЕТСКА ГРАДИНА № 12 &quot;ЛИЛИЯ&quot;"/>
        <s v="ДЕТСКА ГРАДИНА № 120 &quot;ДЕТСТВО ПОД ЛИПИТЕ&quot;"/>
        <s v="ДЕТСКА ГРАДИНА № 121"/>
        <s v="ДЕТСКА ГРАДИНА № 123 &quot;ШАРЛ ПЕРО&quot;"/>
        <s v="ДЕТСКА ГРАДИНА № 124 &quot;БЪРБОРИНО&quot;"/>
        <s v="ДЕТСКА ГРАДИНА № 125 &quot;УСМИВКА&quot;"/>
        <s v="ДЕТСКА ГРАДИНА № 126 &quot;ТИНТЯВА&quot;"/>
        <s v="ДЕТСКА ГРАДИНА № 127 &quot;СЛЪНЦЕ&quot;"/>
        <s v="ДЕТСКА ГРАДИНА № 128 &quot;ФЕНИКС&quot;"/>
        <s v="ДЕТСКА ГРАДИНА № 129 &quot;ПРИКАЗЕН СВЯТ&quot;"/>
        <s v="ДЕТСКА ГРАДИНА № 13 &quot;КАЛИНКА&quot;"/>
        <s v="ДЕТСКА ГРАДИНА № 130 &quot;ПРИКАЗКА&quot;"/>
        <s v="ДЕТСКА ГРАДИНА № 132 &quot;СВЕТЛИНА&quot;"/>
        <s v="ДЕТСКА ГРАДИНА № 133 &quot;ЗОРНИЦА&quot;"/>
        <s v="ДЕТСКА ГРАДИНА № 134 &quot;ЛЮБОПИТКО&quot;"/>
        <s v="ДЕТСКА ГРАДИНА № 135 &quot;МОЕ ДЕТСТВО&quot;"/>
        <s v="ДЕТСКА ГРАДИНА № 136 &quot;СЛАВИЯ&quot;"/>
        <s v="ДЕТСКА ГРАДИНА № 137 &quot;КАЛИНА МАЛИНА&quot;"/>
        <s v="ДЕТСКА ГРАДИНА № 138 &quot;ПРИЯТЕЛИ&quot;"/>
        <s v="ДЕТСКА ГРАДИНА № 139 &quot;ПАНОРАМА&quot;"/>
        <s v="ДЕТСКА ГРАДИНА № 14 &quot;КАРЛСОН&quot;"/>
        <s v="ДЕТСКА ГРАДИНА № 140 &quot;ЗОРНИЦА&quot;"/>
        <s v="ДЕТСКА ГРАДИНА № 141 &quot;СЛАВЕЙКОВА ПОЛЯНА&quot;"/>
        <s v="ДЕТСКА ГРАДИНА № 142"/>
        <s v="ДЕТСКА ГРАДИНА № 143 &quot;ЩУРЧЕ&quot;"/>
        <s v="ДЕТСКА ГРАДИНА № 144 &quot;ХАНС КРИСТИАН АНДЕРСЕН&quot;"/>
        <s v="ДЕТСКА ГРАДИНА № 145 &quot;БЪЛГАРКА&quot;"/>
        <s v="ДЕТСКА ГРАДИНА № 146 &quot;ЗВЕЗДИЦА&quot;"/>
        <s v="ДЕТСКА ГРАДИНА № 147 &quot;СЛАВЕЙЧЕ&quot;"/>
        <s v="ДЕТСКА ГРАДИНА № 148 &quot;СЛЪНЦЕ&quot;"/>
        <s v="ДЕТСКА ГРАДИНА № 149 &quot;ЗОРНИЦА&quot;"/>
        <s v="ДЕТСКА ГРАДИНА № 15 &quot;ЧУЧУЛИГА&quot;"/>
        <s v="ДЕТСКА ГРАДИНА № 151 &quot;ЛЕДА МИЛЕВА&quot;"/>
        <s v="ДЕТСКА ГРАДИНА № 152 &quot;ЛЮЛЯЧЕ&quot;"/>
        <s v="ДЕТСКА ГРАДИНА № 153 &quot;СВЕТА ТРОИЦА&quot;"/>
        <s v="ДЕТСКА ГРАДИНА № 154 &quot;СБЪДНАТА МЕЧТА&quot;"/>
        <s v="ДЕТСКА ГРАДИНА № 155 &quot;ВЕСЕЛИНА&quot;"/>
        <s v="ДЕТСКА ГРАДИНА № 157 &quot;ДЕТСКА СТРЯХА&quot;"/>
        <s v="ДЕТСКА ГРАДИНА № 158 &quot;ЗОРА&quot;"/>
        <s v="ДЕТСКА ГРАДИНА № 159 &quot;ОЛИМПИЙЧЕ&quot;"/>
        <s v="ДЕТСКА ГРАДИНА № 16 &quot;ПРИКАЗЕН СВЯТ&quot;"/>
        <s v="ДЕТСКА ГРАДИНА № 160 &quot;ДРАГАЛЕВЦИ&quot;"/>
        <s v="ДЕТСКА ГРАДИНА № 161 &quot;ЛАСКА&quot;"/>
        <s v="ДЕТСКА ГРАДИНА № 162 &quot;ВИХРОГОНЧЕ&quot;"/>
        <s v="ДЕТСКА ГРАДИНА № 164 &quot;ЗОРНИЦА&quot;"/>
        <s v="ДЕТСКА ГРАДИНА № 165 &quot;ЛАТИНКА&quot;"/>
        <s v="ДЕТСКА ГРАДИНА № 166 &quot;ВЕСЕЛУШКА&quot;"/>
        <s v="ДЕТСКА ГРАДИНА № 167 &quot;МАЛКИЯТ ПРИНЦ&quot;"/>
        <s v="ДЕТСКА ГРАДИНА № 168 &quot;СЛЪНЧОГЛЕДИ&quot;"/>
        <s v="ДЕТСКА ГРАДИНА № 169 &quot;КОЛЕДАРЧЕ&quot;"/>
        <s v="ДЕТСКА ГРАДИНА № 17 &quot;МЕЧО ПУХ&quot;"/>
        <s v="ДЕТСКА ГРАДИНА № 170 &quot;ПЧЕЛИЦА&quot;"/>
        <s v="ДЕТСКА ГРАДИНА № 171 &quot;СВОБОДА&quot;"/>
        <s v="ДЕТСКА ГРАДИНА № 172 &quot;СОФИЯ&quot;"/>
        <s v="ДЕТСКА ГРАДИНА № 173 &quot;ЗВЪНЧЕ&quot;"/>
        <s v="ДЕТСКА ГРАДИНА № 174 &quot;ФЮТ&quot;"/>
        <s v="ДЕТСКА ГРАДИНА № 175 &quot;СЛЪНЧЕВИ ЛЪЧИ&quot;"/>
        <s v="ДЕТСКА ГРАДИНА № 176 &quot;ЗОРНИЦА&quot;"/>
        <s v="ДЕТСКА ГРАДИНА № 177 &quot;ЛЮТИЧЕ&quot;"/>
        <s v="ДЕТСКА ГРАДИНА № 178 &quot;СРЕБЪРНО КОПИТЦЕ&quot;"/>
        <s v="ДЕТСКА ГРАДИНА № 179 &quot;СИНЧЕЦ&quot;"/>
        <s v="ДЕТСКА ГРАДИНА № 18 &quot;ДЕТСКИ СВЯТ&quot;"/>
        <s v="ДЕТСКА ГРАДИНА № 180 &quot;ЗАЙЧЕНЦЕТО БЯЛО&quot;"/>
        <s v="ДЕТСКА ГРАДИНА № 181 &quot;РАДОСТ&quot;"/>
        <s v="ДЕТСКА ГРАДИНА № 182 &quot;ПЧЕЛИЦА&quot;"/>
        <s v="ДЕТСКА ГРАДИНА № 183 &quot;ЩАСТЛИВО ДЕТСТВО&quot;"/>
        <s v="ДЕТСКА ГРАДИНА № 184 &quot;МЕЧО ПУХ&quot;"/>
        <s v="ДЕТСКА ГРАДИНА № 185 &quot;ЗВЕЗДИЧКА&quot;"/>
        <s v="ДЕТСКА ГРАДИНА № 186 &quot;ДЕНИЦА&quot;"/>
        <s v="ДЕТСКА ГРАДИНА № 187 &quot;ЖАР ПТИЦА&quot;"/>
        <s v="ДЕТСКА ГРАДИНА № 188 &quot;ВЯРА, НАДЕЖДА, ЛЮБОВ&quot;"/>
        <s v="ДЕТСКА ГРАДИНА № 189 &quot;СТО УСМИВКИ&quot;"/>
        <s v="ДЕТСКА ГРАДИНА № 19 &quot;СВЕТА СОФИЯ&quot;"/>
        <s v="ДЕТСКА ГРАДИНА № 191 &quot;ПРИКАЗКА БЕЗ КРАЙ&quot;"/>
        <s v="ДЕТСКА ГРАДИНА № 192 &quot;ЛОЗИЧКА&quot;"/>
        <s v="ДЕТСКА ГРАДИНА № 193 &quot;СЛАВЕЙЧЕ&quot;"/>
        <s v="ДЕТСКА ГРАДИНА № 194 &quot;МИЛУВКА&quot;"/>
        <s v="ДЕТСКА ГРАДИНА № 195 &quot;БРАТЯ МОРМАРЕВИ&quot;"/>
        <s v="ДЕТСКА ГРАДИНА № 196 &quot;ШАРЛ ПЕРО&quot;"/>
        <s v="ДЕТСКА ГРАДИНА № 197 &quot;КИТНА ГРАДИНА&quot;"/>
        <s v="ДЕТСКА ГРАДИНА № 198 &quot;КОСЕ БОСЕ&quot;"/>
        <s v="ДЕТСКА ГРАДИНА № 199 &quot;САРАГОСА&quot;"/>
        <s v="ДЕТСКА ГРАДИНА № 2 &quot;ЗВЪНЧЕ&quot;"/>
        <s v="ДЕТСКА ГРАДИНА № 20 &quot;ЖАСМИНОВ ПАРК&quot;"/>
        <s v="ДЕТСКА ГРАДИНА № 200 &quot;ЦВЕТЕН РАЙ&quot;"/>
        <s v="ДЕТСКА ГРАДИНА № 21 &quot;ЕЖКО БЕЖКО&quot;"/>
        <s v="ДЕТСКА ГРАДИНА № 22 &quot;ВЕЛИКДЕНЧЕ&quot;"/>
        <s v="ДЕТСКА ГРАДИНА № 23 &quot;ЗДРАВЕ&quot;"/>
        <s v="ДЕТСКА ГРАДИНА № 24 &quot;НАДЕЖДА&quot;"/>
        <s v="ДЕТСКА ГРАДИНА № 25 &quot;ИЗВОРЧЕ&quot;"/>
        <s v="ДЕТСКА ГРАДИНА № 26 &quot;КАЛИНА&quot;"/>
        <s v="ДЕТСКА ГРАДИНА № 27 &quot;ДЕТСКА КИТКА&quot;"/>
        <s v="ДЕТСКА ГРАДИНА № 28 &quot;ЯН БИБИЯН&quot;"/>
        <s v="ДЕТСКА ГРАДИНА № 29 &quot;СЛЪНЦЕ&quot;"/>
        <s v="ДЕТСКА ГРАДИНА № 3 &quot;ДЕТЕЛИНА&quot;"/>
        <s v="ДЕТСКА ГРАДИНА № 30 &quot;РАДЕЦКИ&quot;"/>
        <s v="ДЕТСКА ГРАДИНА № 31 &quot;ЛЮЛИН&quot;"/>
        <s v="ДЕТСКА ГРАДИНА № 32 &quot;БЪЛГАРЧЕ&quot;"/>
        <s v="ДЕТСКА ГРАДИНА № 33 &quot;СРЕБЪРНИ ЗВЪНЧЕТА&quot;"/>
        <s v="ДЕТСКА ГРАДИНА № 34 &quot;БРЕЗИЧКА&quot;"/>
        <s v="ДЕТСКА ГРАДИНА № 35 &quot;ЩАСТЛИВО ДЕТСТВО&quot;"/>
        <s v="ДЕТСКА ГРАДИНА № 36 &quot;ПЕПЕРУДА&quot;"/>
        <s v="ДЕТСКА ГРАДИНА № 37 &quot;ВЪЛШЕБСТВО&quot;"/>
        <s v="ДЕТСКА ГРАДИНА № 38 &quot;ДОРА ГАБЕ&quot;"/>
        <s v="ДЕТСКА ГРАДИНА № 39 &quot;ПРОЛЕТ&quot;"/>
        <s v="ДЕТСКА ГРАДИНА № 4 &quot;СЛЪНЧО&quot;"/>
        <s v="ДЕТСКА ГРАДИНА № 40 &quot;Д-Р Г. АНГУШЕВ&quot;"/>
        <s v="ДЕТСКА ГРАДИНА № 41 &quot;ПРИЯТЕЛИ&quot;"/>
        <s v="ДЕТСКА ГРАДИНА № 42 &quot;ЧАЙКА&quot;"/>
        <s v="ДЕТСКА ГРАДИНА № 43 &quot;ТАЛАНТ&quot;"/>
        <s v="ДЕТСКА ГРАДИНА № 44 &quot;КАЛИНА&quot;"/>
        <s v="ДЕТСКА ГРАДИНА № 45 &quot;АЛИСА&quot;"/>
        <s v="ДЕТСКА ГРАДИНА № 46 &quot;ЖИВА ВОДА&quot;"/>
        <s v="ДЕТСКА ГРАДИНА № 47 &quot;НЕЗАБРАВКА&quot;"/>
        <s v="ДЕТСКА ГРАДИНА № 48 &quot;БРАТЯ ГРИМ&quot;"/>
        <s v="ДЕТСКА ГРАДИНА № 49 &quot;РАДОСТ&quot;"/>
        <s v="ДЕТСКА ГРАДИНА № 5 &quot;НАДЕЖДА&quot;"/>
        <s v="ДЕТСКА ГРАДИНА № 50 &quot;ЗАЙЧЕТО КУИКИ&quot;"/>
        <s v="ДЕТСКА ГРАДИНА № 51 &quot;ЩУРЧЕ&quot;"/>
        <s v="ДЕТСКА ГРАДИНА № 52 &quot;ИЛИНДЕНЧЕ&quot;"/>
        <s v="ДЕТСКА ГРАДИНА № 53 &quot;ДЯДОВАТА РЪКАВИЧКА&quot;"/>
        <s v="ДЕТСКА ГРАДИНА № 54 &quot;ДЪГА&quot;"/>
        <s v="ДЕТСКА ГРАДИНА № 55 &quot;ИГЛИКА&quot;"/>
        <s v="ДЕТСКА ГРАДИНА № 56 &quot;ЗДРАВЕЦ&quot;"/>
        <s v="ДЕТСКА ГРАДИНА № 57 &quot;ХОСЕ МАРТИ&quot;"/>
        <s v="ДЕТСКА ГРАДИНА № 58 &quot;СЛЪНЧЕВО УТРО&quot;"/>
        <s v="ДЕТСКА ГРАДИНА № 59 &quot;ЕЛХИЦА&quot;"/>
        <s v="ДЕТСКА ГРАДИНА № 6 &quot;ВЪЛШЕБЕН СВЯТ&quot;"/>
        <s v="ДЕТСКА ГРАДИНА № 60 &quot;БОР&quot;"/>
        <s v="ДЕТСКА ГРАДИНА № 61 &quot;ШАРЕНО ПЕТЛЕ&quot;"/>
        <s v="ДЕТСКА ГРАДИНА № 62 &quot;ЗОРНИЦА&quot;"/>
        <s v="ДЕТСКА ГРАДИНА № 63 &quot;СЛЪНЦЕ&quot;"/>
        <s v="ДЕТСКА ГРАДИНА № 64 &quot;ПЪРВИ ЮНИ&quot;"/>
        <s v="ДЕТСКА ГРАДИНА № 65 &quot;СЛЪНЧЕВО ДЕТСТВО&quot;"/>
        <s v="ДЕТСКА ГРАДИНА № 66 &quot;ЕЛИЦА&quot;"/>
        <s v="ДЕТСКА ГРАДИНА № 67 &quot;ЧУЧУЛИГА&quot;"/>
        <s v="ДЕТСКА ГРАДИНА № 68 &quot;РАН БОСИЛЕК&quot;"/>
        <s v="ДЕТСКА ГРАДИНА № 69 &quot;ЖАР ПТИЦА&quot;"/>
        <s v="ДЕТСКА ГРАДИНА № 7 &quot;ДЕТЕЛИНА&quot;"/>
        <s v="ДЕТСКА ГРАДИНА № 70 &quot;ПРОЛЕТ&quot;"/>
        <s v="ДЕТСКА ГРАДИНА № 71 &quot;ЩАСТИЕ&quot;"/>
        <s v="ДЕТСКА ГРАДИНА № 72 &quot;ПРИКАЗКА БЕЗ КРАЙ&quot;"/>
        <s v="ДЕТСКА ГРАДИНА № 73 &quot;МАРГАРИТА&quot;"/>
        <s v="ДЕТСКА ГРАДИНА № 74 &quot;ДЪГА&quot;"/>
        <s v="ДЕТСКА ГРАДИНА № 75 &quot;СЪРЧИЦЕ&quot;"/>
        <s v="ДЕТСКА ГРАДИНА № 76 &quot;СЪРНИЧКА&quot;"/>
        <s v="ДЕТСКА ГРАДИНА № 77 &quot;МАГНОЛИЯ&quot;"/>
        <s v="ДЕТСКА ГРАДИНА № 78 &quot;ДЕТСКИ СВЯТ&quot;"/>
        <s v="ДЕТСКА ГРАДИНА № 79 &quot;СЛЪНЧИЦЕ&quot;"/>
        <s v="ДЕТСКА ГРАДИНА № 8 &quot;ПРОФ. Д-Р ЕЛКА ПЕТРОВА&quot;"/>
        <s v="ДЕТСКА ГРАДИНА № 80 &quot;ПРИКАЗНА КАЛИНА&quot;"/>
        <s v="ДЕТСКА ГРАДИНА № 81 &quot;ЛИЛИЯ&quot;"/>
        <s v="ДЕТСКА ГРАДИНА № 82 &quot;ДЖАНИ РОДАРИ&quot;"/>
        <s v="ДЕТСКА ГРАДИНА № 83 &quot;СЛАВЕЙЧЕ&quot;"/>
        <s v="ДЕТСКА ГРАДИНА № 84 &quot;ДЕТЕЛИНА&quot;"/>
        <s v="ДЕТСКА ГРАДИНА № 85 &quot;РОДИНА&quot;"/>
        <s v="ДЕТСКА ГРАДИНА № 86 &quot;АСЕН БОСЕВ&quot;"/>
        <s v="ДЕТСКА ГРАДИНА № 87 &quot;БУКАТА&quot;"/>
        <s v="ДЕТСКА ГРАДИНА № 88 &quot;ДЕТСКИ РАЙ&quot;"/>
        <s v="ДЕТСКА ГРАДИНА № 89 &quot;ШАРЕНА ДЪГА&quot;"/>
        <s v="ДЕТСКА ГРАДИНА № 9 &quot;ПЛАМЪЧЕ&quot;"/>
        <s v="ДЕТСКА ГРАДИНА № 90 &quot;ВЕСА ПАСПАЛЕЕВА&quot;"/>
        <s v="ДЕТСКА ГРАДИНА № 91 &quot;СЛЪНЧЕВ КЪТ&quot;"/>
        <s v="ДЕТСКА ГРАДИНА № 92 &quot;МЕЧТА&quot;"/>
        <s v="ДЕТСКА ГРАДИНА № 93 &quot;ЧУДЕН СВЯТ&quot;"/>
        <s v="ДЕТСКА ГРАДИНА № 94 &quot;ДЕТСКИ СВЯТ&quot;"/>
        <s v="ДЕТСКА ГРАДИНА № 95 &quot;ОМАЙНИЧЕ&quot;"/>
        <s v="ДЕТСКА ГРАДИНА № 96 &quot;РОСНА КИТКА&quot;"/>
        <s v="ДЕТСКА ГРАДИНА № 97 &quot;ИЗГРЕВ&quot;"/>
        <s v="ДЕТСКА ГРАДИНА № 98 &quot;СЛЪНЧЕВО ЗАЙЧЕ&quot;"/>
        <s v="ДЕТСКА ГРАДИНА № 99 &quot;БРЕЗИЧКА&quot;"/>
      </sharedItems>
    </cacheField>
    <cacheField name="Община:" numFmtId="0">
      <sharedItems count="1">
        <s v="Столична"/>
      </sharedItems>
    </cacheField>
    <cacheField name="Град/село:" numFmtId="0">
      <sharedItems count="20">
        <s v="гр. Банкя"/>
        <s v="гр. Бухово"/>
        <s v="гр. Нови Искър"/>
        <s v="гр. Нови Искър "/>
        <s v="гр. София"/>
        <s v="гр. София "/>
        <s v="с. Бистрица"/>
        <s v="с. Бусманци"/>
        <s v="с. Владая"/>
        <s v="с. Герман"/>
        <s v="с. Горни Богров"/>
        <s v="с. Долни Богров"/>
        <s v="с. Железница"/>
        <s v="с. Казичене"/>
        <s v="с. Лозен"/>
        <s v="с. Мрамор"/>
        <s v="с. Мърчаево"/>
        <s v="с. Световрачене"/>
        <s v="с. Чепинци"/>
        <s v="София"/>
      </sharedItems>
    </cacheField>
    <cacheField name="Район:" numFmtId="0">
      <sharedItems count="24">
        <s v="&quot;Банкя&quot;"/>
        <s v="&quot;Витоша&quot;"/>
        <s v="&quot;Връбница&quot;"/>
        <s v="&quot;Възраждане&quot;"/>
        <s v="&quot;Изгрев&quot;"/>
        <s v="&quot;Илинден&quot;"/>
        <s v="&quot;Искър&quot;"/>
        <s v="&quot;Красна поляна&quot;"/>
        <s v="&quot;Красно село&quot;"/>
        <s v="&quot;Кремиковци&quot;"/>
        <s v="&quot;Лозенец&quot;"/>
        <s v="&quot;Люлин&quot;"/>
        <s v="&quot;Младост&quot;"/>
        <s v="&quot;Надежда&quot;"/>
        <s v="&quot;Нови Искър&quot;"/>
        <s v="&quot;Оборище&quot;"/>
        <s v="&quot;Овча купел&quot;"/>
        <s v="&quot;Панчарево&quot;"/>
        <s v="&quot;Подуяне&quot;"/>
        <s v="&quot;Сердика&quot;"/>
        <s v="&quot;Слатина&quot;"/>
        <s v="&quot;Средец&quot;"/>
        <s v="&quot;Студентски&quot;"/>
        <s v="&quot;Триадица&quot;"/>
      </sharedItems>
    </cacheField>
    <cacheField name="Адрес на управление:" numFmtId="0">
      <sharedItems count="194">
        <s v="бул. &quot;Алеко Туранджа&quot; № 4 "/>
        <s v="бул. &quot;Никола Мушанов&quot; № 151 "/>
        <s v="бул. &quot;Цар Борис III&quot; № 130 "/>
        <s v="бул. &quot;Цар Борис III&quot; № 54А"/>
        <s v="ВЕЦ Пасарел № 17 "/>
        <s v="гр. София ж.к. Младост ул. &quot;Бъднина&quot; № 17"/>
        <s v="гр. София, ж.к. &quot;Дружба-2&quot;, ул. &quot;Ханс Кр. Андерсен&quot; № 6"/>
        <s v="гр. София, ж.к. &quot;Младост&quot;ул. &quot;Детска приказка&quot;№ 4"/>
        <s v="гр. София, кв. Горубляне, ул. &quot;Хан Аспарух&quot; №1"/>
        <s v="гр. София, ул. &quot;Оборище&quot; № 94-96"/>
        <s v="ж. к. Младост 3, ул. &quot;Д-р Н. Николаев&quot; № 11"/>
        <s v="ж.к. &quot;Дружба-1&quot;"/>
        <s v="ж.к. &quot;Дружба-1&quot;, ул. &quot;5036-та&quot;"/>
        <s v="ж.к. &quot;Дружба-1&quot;, ул. &quot;Полковник Чудомир Топлодолски&quot;"/>
        <s v="ж.к. &quot;Дружба-2&quot;"/>
        <s v="ж.к. &quot;Дружба-2&quot;, ул. &quot;Ханс Кристиан Андерсен&quot; № 10"/>
        <s v="ж.к. &quot;Дървеница&quot;, ул. &quot;Айдемир&quot; № 4"/>
        <s v="ж.к. &quot;Западен парк&quot;, ул. &quot;Суходолска&quot; № 2 (до 17 СОУ)"/>
        <s v="ж.к. &quot;Красна поляна-2&quot;, ул. &quot;Спас Вацов&quot; № 1 "/>
        <s v="ж.к. &quot;Лев Толстой&quot;, ул. &quot;Генерал Жостов&quot; № 1"/>
        <s v="ж.к. &quot;Левски-Г&quot;, ул. &quot;Поручик Георги Кюмюрджиев&quot; № 2 "/>
        <s v="ж.к. &quot;Люлин-10&quot;, ул. &quot;Димитър Талев&quot; № 2 "/>
        <s v="ж.к. &quot;Люлин-10&quot;, ул. &quot;Тома Давидов&quot; № 44"/>
        <s v="ж.к. &quot;Люлин-2&quot;, ул. &quot;208-а&quot;, № 17"/>
        <s v="ж.к. &quot;Люлин-2&quot;, ул. &quot;210-та&quot; № 27"/>
        <s v="ж.к. &quot;Люлин-3&quot;, ул. &quot;315-та&quot;"/>
        <s v="ж.к. &quot;Люлин-5&quot;, ул. &quot;501-ва&quot; "/>
        <s v="ж.к. &quot;Люлин-7&quot;, ул. &quot;Полковник Стоян Топузов&quot;"/>
        <s v="ж.к. &quot;Люлин-8&quot;, ул. &quot;Гургулят&quot; № 1"/>
        <s v="ж.к. &quot;Младост 4&quot;, ул. &quot;Детска мечта&quot; № 20"/>
        <s v="ж.к. &quot;Младост-1&quot; (до бл. 18)"/>
        <s v="ж.к. &quot;Младост-1&quot;, ул. &quot;Димитър Моллов&quot; № 9 "/>
        <s v="ж.к. &quot;Младост-1&quot;, ул. &quot;Сто усмивки&quot; № 4 "/>
        <s v="ж.к. &quot;Младост-1&quot;, ул. &quot;Усмивка&quot; № 1"/>
        <s v="ж.к. &quot;Младост-1&quot;, ул. Димитър Доспевски № 27"/>
        <s v="ж.к. &quot;Младост-1A&quot;, ул. &quot;Сърчице&quot; № 4 "/>
        <s v="ж.к. &quot;Младост-2&quot;, ул. &quot;Малкият принц&quot; № 4 "/>
        <s v="ж.к. &quot;Младост-2&quot;, ул. &quot;Проф. д-р Васил Златарски&quot; № 8"/>
        <s v="ж.к. &quot;Младост-3&quot; (до бл. 307)"/>
        <s v="ж.к. &quot;Младост-3&quot; (до бл. 363/368)"/>
        <s v="ж.к. &quot;Младост-3&quot;, ул. &quot;Николай Николаев&quot; № 13"/>
        <s v="ж.к. &quot;Младост&quot; - 2, ул. &quot;Слънчево зайче&quot; № 9"/>
        <s v="ж.к. &quot;Младост&quot; 2, ул. &quot;Васил Карагьозов&quot; 8"/>
        <s v="ж.к. &quot;Надежда-1&quot;, ул. &quot;Кирил Дрангов&quot; № 14"/>
        <s v="ж.к. &quot;Обеля-2&quot;"/>
        <s v="ж.к. &quot;Овча купел-1&quot;"/>
        <s v="ж.к. &quot;Овча купел-2&quot;, кв. 5, ул. &quot;Детелина&quot; № 1 "/>
        <s v="ж.к. &quot;Овча купел-2&quot;, ул. &quot;Сребърни звънчета&quot; № 4"/>
        <s v="ж.к. &quot;Суха река&quot; , ул. &quot;Хан Севар&quot; № 1"/>
        <s v="ж.к. &quot;Яворов&quot;, ул. &quot;Алея-II&quot; № 2 "/>
        <s v="ж.к. Гоце Делчев, ул. &quot;Метличина поляна&quot; №10"/>
        <s v="кв. &quot;Kремиковци&quot;, ул. &quot;Св. Св. Кирил и Методий&quot; № 2"/>
        <s v="кв. &quot;Ботунец&quot;, ул. &quot;Балкан&quot; № 14, бл. 12 "/>
        <s v="кв. &quot;Бояна&quot;, ул. &quot;Детски мир&quot; № 5"/>
        <s v="кв. &quot;Враждебна&quot;, ул. &quot;27-ма&quot; № 3 "/>
        <s v="кв. &quot;Връбница-1&quot;, бл. 510 А,Б "/>
        <s v="кв. &quot;Драгалевци&quot;, ул. &quot;Захари Зограф&quot; № 1"/>
        <s v="кв. &quot;Дървеница&quot;, ул. &quot;Белимел&quot; № 11 "/>
        <s v="кв. &quot;Захарна фабрика&quot; "/>
        <s v="кв. &quot;Зона Б-5&quot; "/>
        <s v="кв. &quot;Илиенци&quot;, ул. &quot;Фикус&quot; № 2"/>
        <s v="кв. &quot;Кумарица&quot;, ул. &quot;Искърско дефиле&quot; № 73 "/>
        <s v="кв. &quot;Курило&quot;, ул. &quot;Кременица&quot; № 18"/>
        <s v="кв. &quot;Левски-Г&quot; "/>
        <s v="кв. &quot;Обеля&quot;, ул. &quot;3-та&quot; № 13 "/>
        <s v="кв. &quot;Овча купел&quot;, ул. &quot;Маестро Кънев&quot; № 29"/>
        <s v="кв. &quot;Павлово&quot;, ул. &quot;Белмекен&quot; № 1"/>
        <s v="кв. &quot;Павлово&quot;, ул. &quot;Мусала&quot; № 7"/>
        <s v="кв. &quot;Филиповци&quot;, ул. &quot;Поручик Хранов&quot; № 5 "/>
        <s v="кв. &quot;Хр. Ботев&quot;, ул. &quot;502-ра&quot; № 6 "/>
        <s v="кв. &quot;Челопечене&quot;, ул. &quot;Яне Стоянов&quot; № 19 "/>
        <s v="кв. Княжево, ул. &quot;Княжевска&quot; № 41"/>
        <s v="кв. Симеоново, ул. &quot;Kрайречна&quot; № 9 "/>
        <s v="кв. Суходол, ул. &quot;Овчо поле&quot; № 16"/>
        <s v="мест. &quot;Витоша&quot;, ВЕЦ Симеоново, ул. &quot;Тодор Чипев&quot; № 1 "/>
        <s v="София, р-н Люлин 7, ул. &quot;Иван и Стиляна Параскевови&quot; № 5"/>
        <s v="София, СО, ж.к. Младост 1, ул. &quot;Чудна градина&quot; №8"/>
        <s v="София, ул. &quot;Розова долина&quot; № 12А"/>
        <s v="София, ул. &quot;Шумен&quot; № 2"/>
        <s v="ул. &quot; Ген. Асен Николов &quot; № 12"/>
        <s v="ул. &quot;10-та&quot; № 27 "/>
        <s v="ул. &quot;417-та&quot;"/>
        <s v="ул. &quot;8-ми март&quot; № 28"/>
        <s v="ул. &quot;Hайден Георгиев&quot; № 12 "/>
        <s v="ул. &quot;Hеофит Бозвели&quot; № 26"/>
        <s v="ул. &quot;Hикола Габровски&quot; № 26 "/>
        <s v="ул. &quot;Kап. Тодор Hочев&quot; № 30 "/>
        <s v="ул. &quot;Kосово поле&quot; № 3 "/>
        <s v="ул. &quot;Kукуш&quot; № 34 "/>
        <s v="ул. &quot;Kумановски бой&quot; № 16"/>
        <s v="ул. &quot;Александър Момчев&quot; № 2 "/>
        <s v="ул. &quot;Атанас Манчев&quot; № 1 "/>
        <s v="ул. &quot;Балша&quot; № 6-8"/>
        <s v="ул. &quot;Батуня&quot; № 75 "/>
        <s v="ул. &quot;Беласица&quot; № 26"/>
        <s v="ул. &quot;Бесарабия&quot; № 46 "/>
        <s v="ул. &quot;Битоля&quot; № 27 "/>
        <s v="ул. &quot;Боян Дановски&quot; № 3"/>
        <s v="ул. &quot;Братин дол&quot; № 7 "/>
        <s v="ул. &quot;Брегалница&quot; № 26 "/>
        <s v="ул. &quot;Брегалница&quot; № 48"/>
        <s v="ул. &quot;Бъкстон&quot; № 16 "/>
        <s v="ул. &quot;Ванче Михайлов&quot; № 3"/>
        <s v="ул. &quot;Варна&quot; № 1 "/>
        <s v="ул. &quot;Велико Търново&quot; № 2 "/>
        <s v="ул. &quot;Видлич&quot; № 2 "/>
        <s v="ул. &quot;Витиня&quot; № 1"/>
        <s v="ул. &quot;Владимир Трендафилов&quot; № 1 "/>
        <s v="ул. &quot;Войводово&quot; № 4 "/>
        <s v="ул. &quot;Врабча&quot; № 7 "/>
        <s v="ул. &quot;Връбница-1&quot;"/>
        <s v="ул. &quot;Възрожденска&quot; № 19"/>
        <s v="ул. &quot;Галилео Галилей&quot; № 30"/>
        <s v="ул. &quot;Ген. Стефан Тошев&quot; № 34"/>
        <s v="ул. &quot;Георги Измирлиев&quot; № 20"/>
        <s v="ул. &quot;Георги Икономов&quot; № 6 "/>
        <s v="ул. &quot;Георги Минчев&quot; № 35"/>
        <s v="ул. &quot;Гинци&quot; №16"/>
        <s v="ул. &quot;Гладстон&quot; № 38"/>
        <s v="ул. &quot;Горски пътник&quot; № 23 "/>
        <s v="ул. &quot;Григор Пърличев&quot; № 10 "/>
        <s v="ул. &quot;Дамян Груев&quot; № 44 "/>
        <s v="ул. &quot;Дебър&quot; № 16-22 "/>
        <s v="ул. &quot;Дедеагач&quot; № 42 "/>
        <s v="ул. &quot;Деян Белишки&quot; № 44"/>
        <s v="ул. &quot;Джон Ленън&quot; № 10 "/>
        <s v="ул. &quot;Добротич&quot; № 48 "/>
        <s v="ул. &quot;Ела&quot; № 6"/>
        <s v="ул. &quot;Емануил Васкидович&quot; № 40 "/>
        <s v="ул. &quot;Еужен Потие&quot; № 1 "/>
        <s v="ул. &quot;Железопътна&quot; № 22 "/>
        <s v="ул. &quot;Захари Kруша&quot; № 20 "/>
        <s v="ул. &quot;Златица&quot; № 46 "/>
        <s v="ул. &quot;Златишки проход&quot; № 57"/>
        <s v="ул. &quot;Иван Арабаджията&quot; № 40 "/>
        <s v="ул. &quot;Иван Момчилов&quot; № 44"/>
        <s v="ул. &quot;Камчия&quot; № 1 "/>
        <s v="ул. &quot;Кораб планина&quot; № 42"/>
        <s v="ул. &quot;Крива ливада&quot; № 11А "/>
        <s v="ул. &quot;Любен Kаравелов&quot; № 16"/>
        <s v="ул. &quot;Любородне&quot; № 4"/>
        <s v="ул. &quot;Мадарски конник&quot; № 7 "/>
        <s v="ул. &quot;Майор Юрий Гагарин&quot; № 14-16"/>
        <s v="ул. &quot;Мала планина&quot; № 36"/>
        <s v="ул. &quot;Марин Д. Христов&quot; № 5"/>
        <s v="ул. &quot;Мечево усое&quot; № 6"/>
        <s v="ул. &quot;Мизия&quot; № 6 "/>
        <s v="ул. &quot;Миладин Цветков&quot; № 3"/>
        <s v="ул. &quot;Монтевидео&quot; № 21 "/>
        <s v="ул. &quot;Никола Бонев&quot; № 6 "/>
        <s v="ул. &quot;Овче поле&quot; № 123"/>
        <s v="ул. &quot;Одрин&quot; № 62 "/>
        <s v="ул. &quot;Патриарх Герман&quot; № 81А "/>
        <s v="ул. &quot;Петко Д. Петков&quot; № 14"/>
        <s v="ул. &quot;Петко Д. Петков&quot; № 15 "/>
        <s v="ул. &quot;Плана планина&quot; № 26 "/>
        <s v="ул. &quot;Пловдив&quot; № 25"/>
        <s v="ул. &quot;Позитано&quot; № 125 "/>
        <s v="ул. &quot;Полковник Никола Попов&quot; №3"/>
        <s v="ул. &quot;Постоянство&quot; № 9"/>
        <s v="ул. &quot;Преспа&quot; № 3"/>
        <s v="ул. &quot;Проф. арх. Станчо Белковски&quot; № 16 "/>
        <s v="ул. &quot;Република&quot; № 70"/>
        <s v="ул. &quot;Риляник&quot; № 10 "/>
        <s v="ул. &quot;Родопи&quot; № 8 "/>
        <s v="ул. &quot;Св. Никола Нови&quot; № 12"/>
        <s v="ул. &quot;Св. Николай Чудотворец&quot; № 4"/>
        <s v="ул. &quot;Св. Пимен Зографски&quot; № 5"/>
        <s v="ул. &quot;Света гора&quot; № 32"/>
        <s v="ул. &quot;Слатинска&quot; № 60"/>
        <s v="ул. &quot;Стара планина&quot; № 1"/>
        <s v="ул. &quot;Стария кладенец&quot; № 2 "/>
        <s v="ул. &quot;Струга&quot; № 15А"/>
        <s v="ул. &quot;Суходолска&quot; № 2 "/>
        <s v="ул. &quot;Тайга&quot; № 29 "/>
        <s v="ул. &quot;Тинтява&quot; № 5 "/>
        <s v="ул. &quot;Тодор Стоянов&quot; № 18"/>
        <s v="ул. &quot;Тома Давидов&quot; № 3 "/>
        <s v="ул. &quot;Трайчо Костов&quot; № 1 "/>
        <s v="ул. &quot;Урвич&quot; № 12 "/>
        <s v="ул. &quot;Урвич&quot; № 14 "/>
        <s v="ул. &quot;Уста Генчо&quot; № 4А "/>
        <s v="ул. &quot;Фортов път&quot; № 2"/>
        <s v="ул. &quot;Хемус&quot; № 10"/>
        <s v="ул. &quot;Христо Ботев&quot; № 2"/>
        <s v="ул. &quot;Христо Смирненски&quot; № 36 "/>
        <s v="ул. &quot;Цар Петър I&quot; № 5 "/>
        <s v="ул. &quot;Цар Симеон I&quot; № 62"/>
        <s v="ул. &quot;Цар Симеон&quot; № 225 "/>
        <s v="ул. &quot;Цар Симеон&quot; № 271"/>
        <s v="ул. &quot;Чарлз Дарвин&quot; № 19 "/>
        <s v="ул. &quot;Чумерна&quot; № 15 "/>
        <s v="ул. &quot;Янко Панайотов&quot; № 29"/>
        <s v="ул.Иван Тургенев № 10"/>
      </sharedItems>
    </cacheField>
    <cacheField name="Булстат:" numFmtId="0">
      <sharedItems containsMixedTypes="1" containsNumber="1" containsInteger="1" minValue="175930132" maxValue="176749996" count="194">
        <n v="175930132"/>
        <n v="176749996"/>
        <s v="000666014"/>
        <s v="000666027"/>
        <s v="000666034"/>
        <s v="000666041"/>
        <s v="000666059"/>
        <s v="000666066"/>
        <s v="000666073"/>
        <s v="000666080"/>
        <s v="000666098"/>
        <s v="000666116"/>
        <s v="000666123"/>
        <s v="000666155"/>
        <s v="000666162"/>
        <s v="000666194"/>
        <s v="000666237"/>
        <s v="000666269 "/>
        <s v="000666319"/>
        <s v="000666333"/>
        <s v="000666372"/>
        <s v="000666422"/>
        <s v="000666447"/>
        <s v="000666454"/>
        <s v="000666461"/>
        <s v="000666486"/>
        <s v="000666504"/>
        <s v="000666536"/>
        <s v="000666550"/>
        <s v="000666582"/>
        <s v="000666625"/>
        <s v="000666640"/>
        <s v="000666696"/>
        <s v="000666721"/>
        <s v="000666739"/>
        <s v="000666746"/>
        <s v="000666753"/>
        <s v="000666760"/>
        <s v="000666785"/>
        <s v="000666792"/>
        <s v="000666803"/>
        <s v="000666810"/>
        <s v="000666842"/>
        <s v="000666856"/>
        <s v="000666874"/>
        <s v="000666899"/>
        <s v="000666917"/>
        <s v="000666924"/>
        <s v="000666931"/>
        <s v="000666949 "/>
        <s v="000666963"/>
        <s v="000666988"/>
        <s v="000666995"/>
        <s v="000667008"/>
        <s v="000667030"/>
        <s v="000667047"/>
        <s v="000667054"/>
        <s v="000667079"/>
        <s v="000667086"/>
        <s v="000667093"/>
        <s v="000667104"/>
        <s v="000667111"/>
        <s v="000667129"/>
        <s v="000667150"/>
        <s v="000667168"/>
        <s v="000667200"/>
        <s v="000667257"/>
        <s v="000667264"/>
        <s v="000667296"/>
        <s v="000667307"/>
        <s v="000667314"/>
        <s v="000667321"/>
        <s v="000667339"/>
        <s v="000667346"/>
        <s v="000667353"/>
        <s v="000667378"/>
        <s v="000667385"/>
        <s v="000667392"/>
        <s v="000667435"/>
        <s v="000667450"/>
        <s v="000667474 "/>
        <s v="000673064"/>
        <s v="000673071"/>
        <s v="000673089"/>
        <s v="000673299"/>
        <s v="000673304"/>
        <s v="000673317"/>
        <s v="000673331"/>
        <s v="000673349"/>
        <s v="000673363"/>
        <s v="000673598"/>
        <s v="000673609"/>
        <s v="000673623"/>
        <s v="000673630"/>
        <s v="000673648"/>
        <s v="000673655"/>
        <s v="000673662"/>
        <s v="000673672"/>
        <s v="000673687"/>
        <s v="000673694"/>
        <s v="000673790"/>
        <s v="000673801"/>
        <s v="000673819"/>
        <s v="000673826"/>
        <s v="000673865"/>
        <s v="000673888"/>
        <s v="000673897"/>
        <s v="000673908"/>
        <s v="000673915"/>
        <s v="000673922"/>
        <s v="000673954"/>
        <s v="000674166"/>
        <s v="000674180"/>
        <s v="000674209"/>
        <s v="000674230"/>
        <s v="000674255"/>
        <s v="000674277"/>
        <s v="000674287 "/>
        <s v="000674312"/>
        <s v="000674337"/>
        <s v="000674344"/>
        <s v="000674369"/>
        <s v="000674383"/>
        <s v="000674390"/>
        <s v="000674419"/>
        <s v="000674426"/>
        <s v="000674675"/>
        <s v="000674935"/>
        <s v="000675204"/>
        <s v="000675211"/>
        <s v="000675229"/>
        <s v="000675236"/>
        <s v="000675250"/>
        <s v="000675275"/>
        <s v="000675282"/>
        <s v="000675325"/>
        <s v="000675332"/>
        <s v="000675345"/>
        <s v="000675357"/>
        <s v="000675364"/>
        <s v="000675389"/>
        <s v="000675396"/>
        <s v="000675407"/>
        <s v="000675414"/>
        <s v="000675421"/>
        <s v="000675439"/>
        <s v="000675446"/>
        <s v="000675492"/>
        <s v="000675503"/>
        <s v="000675791"/>
        <s v="000675802"/>
        <s v="000675819"/>
        <s v="000675827"/>
        <s v="000675834"/>
        <s v="000675994"/>
        <s v="000676007"/>
        <s v="000676014"/>
        <s v="000676021"/>
        <s v="000676039"/>
        <s v="000676078"/>
        <s v="000676135"/>
        <s v="000676142"/>
        <s v="000676155"/>
        <s v="000676167"/>
        <s v="000676174"/>
        <s v="000676181"/>
        <s v="000676208"/>
        <s v="000676217"/>
        <s v="000676224"/>
        <s v="000676231"/>
        <s v="000676523"/>
        <s v="000676530"/>
        <s v="000677080"/>
        <s v="000677109"/>
        <s v="000677116"/>
        <s v="000677550"/>
        <s v="121009135"/>
        <s v="121038400"/>
        <s v="121480895"/>
        <s v="121493615"/>
        <s v="121571761"/>
        <s v="121820903"/>
        <s v="131013819"/>
        <s v="131163701"/>
        <s v="175418751"/>
        <s v="175588547"/>
        <s v="175814252"/>
        <s v="175997309"/>
        <s v="176293610"/>
        <s v="176334968"/>
        <s v="176392213 "/>
        <s v="176618153"/>
        <s v="176908427"/>
        <s v="177106113"/>
      </sharedItems>
    </cacheField>
    <cacheField name="Телефон:" numFmtId="0">
      <sharedItems containsBlank="1" count="194">
        <s v="02 /988 56 83; 0884 801 400"/>
        <s v="02 8322176"/>
        <s v="02 838 10 21"/>
        <s v="02 8554119"/>
        <s v="02 862 10 90 / 0884 801 536"/>
        <s v="02 8661358"/>
        <s v="02 870 62 28"/>
        <s v="02 87009377, 02 9717175"/>
        <s v="02 871 81 54 "/>
        <s v="02 874 00 56"/>
        <s v="02 8759074"/>
        <s v="02 936 73 12"/>
        <s v="02 938 71 38"/>
        <s v="02 9387164"/>
        <s v="02 947 84 78"/>
        <s v="02 962 05 31; 0884801583"/>
        <s v="02 978 82 32; 0884801616"/>
        <s v="02 979 17 65"/>
        <s v="02 992 3146"/>
        <s v="02 9943633"/>
        <s v="02-825-50-09 ; 0884-801-687"/>
        <s v="02/ 927-74-55"/>
        <s v="02/ 967 60 58"/>
        <s v="02/ 992 80 74"/>
        <s v="02/8 68 21 49"/>
        <s v="02/8217075"/>
        <s v="02/822 3618, 02/920 0268"/>
        <s v="02/822 9360"/>
        <s v="02/8220663"/>
        <s v="02/8221882"/>
        <s v="02/8223219"/>
        <s v="02/824 63 34"/>
        <s v="02/824 88 62"/>
        <s v="02/8244 877"/>
        <s v="02/8253820; 02/8250975; 02/8253785"/>
        <s v="02/8261119"/>
        <s v="02/829-26-70, 02/822-91-41"/>
        <s v="02/8310058; 0885 208 968; 0884 801 463"/>
        <s v="02/8310324"/>
        <s v="02/8317017"/>
        <s v="02/8321022"/>
        <s v="02/8341057"/>
        <s v="02/8406335"/>
        <s v="02/8479836; 02/8479762"/>
        <s v="02/8551568"/>
        <s v="02/8558771, 0884801674"/>
        <s v="02/856-28-69"/>
        <s v="02/8589108"/>
        <s v="02/859 11 15"/>
        <s v="02/859-61-49"/>
        <s v="02/8598052; 02/8598072; 02/8594113"/>
        <s v="02/862 30 49; 0884 801 533"/>
        <s v="02/8628340; 02/8628240"/>
        <s v="02/866 22 71; 0884 801 535"/>
        <s v="02/8661230"/>
        <s v="02/8710158"/>
        <s v="02/872 00 33"/>
        <s v="02/872 24 35"/>
        <s v="02/8720102"/>
        <s v="02/8720390"/>
        <s v="02/8749121; 02/8740041; 0878 843117; 0884 801 625"/>
        <s v="02/8750338; 02/8752032"/>
        <s v="02/877 03 96; 02/874 94 29"/>
        <s v="02/885 37 32 "/>
        <s v="02/9204313"/>
        <s v="02/9360464"/>
        <s v="02/938 12 05"/>
        <s v="02/938 70 08"/>
        <s v="02/943-79-54"/>
        <s v="02/944 25 16"/>
        <s v="02/9440190"/>
        <s v="02/9446481"/>
        <s v="02/945 04 93; 02/847 39 39"/>
        <s v="02/945 31 55"/>
        <s v="02/945-30-19"/>
        <s v="02/9450593; 02/9450453"/>
        <s v="02/9450595"/>
        <s v="02/9450663"/>
        <s v="02/9466143"/>
        <s v="02/952 16 10"/>
        <s v="02/952 29 19"/>
        <s v="02/9522028"/>
        <s v="02/9522329"/>
        <s v="02/9546020"/>
        <s v="02/9560069"/>
        <s v="02/9578622"/>
        <s v="02/958 92 91"/>
        <s v="02/9581271, 02/9586681, 02/8580019"/>
        <s v="02/967 10 14       0884 801 664"/>
        <s v="02/967 65 43"/>
        <s v="02/9736415; 02/8791224"/>
        <s v="02/974 57 38; 02/974 46 38"/>
        <s v="02/979 16 96/ 0878 907 835"/>
        <s v="02/9790936"/>
        <s v="02/9791138; 02/9732463; 0884801505"/>
        <s v="02/9791495"/>
        <s v="02/983 32 75"/>
        <s v="02/988 32 95"/>
        <s v="02/994 3415&amp; 0884/801 741"/>
        <s v="02/9951802"/>
        <s v="02/9964399"/>
        <s v="02/998 23 72"/>
        <s v="02/9991032"/>
        <s v="024263777"/>
        <s v="028257240 "/>
        <s v="028261071"/>
        <s v="028310176"/>
        <s v="028402590* 028402628"/>
        <s v="028550047"/>
        <s v="028595017"/>
        <s v="028623148/ 08848001530"/>
        <s v="028706137"/>
        <s v="028719141; 028719067"/>
        <s v="028746110 /0884801628"/>
        <s v="028749054"/>
        <s v="029367091"/>
        <s v="029367582"/>
        <s v="029388161"/>
        <s v="029450138"/>
        <s v="029521048"/>
        <s v="029543064, 029526804"/>
        <s v="029759029"/>
        <s v="029917376"/>
        <s v="029924208"/>
        <s v="029926304"/>
        <s v="029927654"/>
        <s v="029942300   0884801740"/>
        <s v="029947049"/>
        <s v="029995013"/>
        <s v="08/824 88 30/0889366310"/>
        <s v="0876 64 31 85"/>
        <s v="0878467378"/>
        <s v="0882399000; 0876834048; 0879459615"/>
        <s v="0882411977"/>
        <s v="0882692669"/>
        <s v="0882887183"/>
        <s v="0884 801 580"/>
        <s v="0884 801 659"/>
        <s v="0884 801 742"/>
        <s v="0884 801630; 02/874 2041"/>
        <s v="0884/801 594; 02/9382957"/>
        <s v="0884200659"/>
        <s v="0884801401"/>
        <s v="0884801412"/>
        <s v="0884801413"/>
        <s v="0884801421"/>
        <s v="0884801434"/>
        <s v="0884801483"/>
        <s v="0884801506"/>
        <s v="0884801510"/>
        <s v="0884801523"/>
        <s v="0884801534"/>
        <s v="0884801560 или 02/822-17-87"/>
        <s v="0884801561"/>
        <s v="0884801563"/>
        <s v="0884801564"/>
        <s v="0884801578"/>
        <s v="0884801589"/>
        <s v="0884801590"/>
        <s v="0884801610"/>
        <s v="0884801629"/>
        <s v="0884801632"/>
        <s v="0884801640"/>
        <s v="0884801653"/>
        <s v="0884801654"/>
        <s v="0884801663"/>
        <s v="0884801679"/>
        <s v="0884801690"/>
        <s v="0884801691"/>
        <s v="0884801694"/>
        <s v="0884801695; 028241115"/>
        <s v="0884801696"/>
        <s v="0884801713, 02/934 66 10"/>
        <s v="0884801718"/>
        <s v="0884801726"/>
        <s v="0884801727"/>
        <s v="0884801731"/>
        <s v="0884801757"/>
        <s v="0884801773"/>
        <s v="0885 208 948"/>
        <s v="0885310056"/>
        <s v="0885922832"/>
        <s v="0887002644"/>
        <s v="0887280077"/>
        <s v="0888 105 103/02 441 02 81"/>
        <s v="0888486157,0888820510"/>
        <s v="0889443556"/>
        <s v="0889611041"/>
        <s v="0895740446/0884801730"/>
        <s v="0897065882"/>
        <s v="0897983333"/>
        <s v="0899922377"/>
        <s v="29360467"/>
        <m/>
      </sharedItems>
    </cacheField>
    <cacheField name="E-mail:" numFmtId="0">
      <sharedItems containsBlank="1" count="194">
        <s v="189gradina@gmail.com"/>
        <s v="aitsaneva@abv.bg"/>
        <s v="alisa_45@abv.bg"/>
        <s v="brezichka99@abv.bg"/>
        <s v="cdg_106@abv.bg"/>
        <s v="cdg_11@abv.bg"/>
        <s v="cdg_117@abv.bg"/>
        <s v="cdg_19svetasofia@abv.bg"/>
        <s v="cdg_21@abv.bg"/>
        <s v="cdg_3@abv.bg"/>
        <s v="cdg_40@abv.bg"/>
        <s v="cdg104@abv.bg"/>
        <s v="cdg110@abv.bg"/>
        <s v="cdg115@abv.bg"/>
        <s v="cdg119@abv.bg"/>
        <s v="cdg129@abv.bg"/>
        <s v="cdg133@abv.bg"/>
        <s v="cdg136@abv.bg"/>
        <s v="cdg145@abv.bg"/>
        <s v="cdg149@abv.bg"/>
        <s v="cdg165@dbv.bg"/>
        <s v="cdg171@abv.bg"/>
        <s v="cdg177@abv.bg"/>
        <s v="cdg181radost@abv.bg"/>
        <s v="cdg2_krem@abv.bg"/>
        <s v="cdg20@abv.bg"/>
        <s v="cdg32@abv.bg"/>
        <s v="cdg57@abv.bg"/>
        <s v="cdg5n@abv.bg"/>
        <s v="cdg6_pero@abv.bg"/>
        <s v="cdg7.bg@gmail.com"/>
        <s v="cdg85@abv.bg"/>
        <s v="cdg9_plama4e@abv.bg"/>
        <s v="cdgshtur4e@abv.bg"/>
        <s v="daga@gbg.bg"/>
        <s v="detskagradina_178@abv.bg"/>
        <s v="dg_127@abv.bg"/>
        <s v="dg_13@abv.bg"/>
        <s v="dg_142@abv.bg"/>
        <s v="dg_146@abv.bg"/>
        <s v="dg_153@abv.bg"/>
        <s v="dg_159@abv.bg"/>
        <s v="dg_191@abv.bg"/>
        <s v="dg_194@abv.bg"/>
        <s v="dg_200@abv.bg"/>
        <s v="dg_41@abv.bg"/>
        <s v="dg_42@abv.bg"/>
        <s v="dg_52@ abv.bg"/>
        <s v="dg_63@abv.bg"/>
        <s v="dg_67@abv.bg"/>
        <s v="dg_79@abv.bg"/>
        <s v="dg_91@abv.bg"/>
        <s v="dg_kosebose@abv.bg"/>
        <s v="dg@abv.bg"/>
        <s v="dg103@abv.bg"/>
        <s v="dg108@abv.bg"/>
        <s v="dg113@abv.bg"/>
        <s v="dg118@abv.bg"/>
        <s v="dg12_georgieva@abv.bg"/>
        <s v="dg124barborino@gmail.com"/>
        <s v="dg137@abv.bg"/>
        <s v="dg138@abv.bg"/>
        <s v="dg140@abv.bg"/>
        <s v="dg141@abv.bg"/>
        <s v="dg147@mail.bg"/>
        <s v="dg154@mail.bg"/>
        <s v="dg155veselina@abv.bg"/>
        <s v="dg158@abv.bg"/>
        <s v="dg166@abv.bg"/>
        <s v="dg170@abv.bg"/>
        <s v="dg179@abv.bg"/>
        <s v="dg183@mail.bg"/>
        <s v="dg192@abv.bg"/>
        <s v="dg193@abv.bg"/>
        <s v="dg195@abv.bg"/>
        <s v="dg29@abv.bg"/>
        <s v="dg35@abv.bg"/>
        <s v="dg37sofia@abv.bg"/>
        <s v="dg38@mail.bg"/>
        <s v="dg47nezabravka@abv.bg"/>
        <s v="dg61@mail.bg"/>
        <s v="dg75sf@abv.bg"/>
        <s v="dg82@abv.bg"/>
        <s v="dg90@abv.bg"/>
        <s v="dg94@abv.bg"/>
        <s v="direktor@cdg77-magnolia.com"/>
        <s v="dmicheva_odz64@abv.bg"/>
        <s v="doris_2005@abv.bg"/>
        <s v="feniks_1964@abv.bg"/>
        <s v="g_tsankova@mail.bg / fut174@abv.bg"/>
        <s v="geri.lubomirova@abv.bg"/>
        <s v="gradina_kalina44@abv.bg"/>
        <s v="hristovaodz27@abv.bg"/>
        <s v="iglika@abv.bg"/>
        <s v="ivanova1177@abv.bg"/>
        <s v="jar.ptica_69@abv.bg"/>
        <s v="kg.bukata@gmail.com"/>
        <s v="kg117@abv.bg"/>
        <s v="kitnagradina97@abv.bg"/>
        <s v="koledarche24@gmail.com"/>
        <s v="ldg_134@abv.bg"/>
        <s v="malkiyatprinc@abv.bg"/>
        <s v="mechopux@abv.bg"/>
        <s v="mirela66@abv.bg"/>
        <s v="n.preslavska@abv.bg"/>
        <s v="naivas@abv.bg"/>
        <s v="odz_1@abv.bg"/>
        <s v="odz_120@abv.bg"/>
        <s v="odz_160@abv.bg"/>
        <s v="odz_180@abv.bg"/>
        <s v="odz_30@mail.bg"/>
        <s v="odz_45@abv.bg"/>
        <s v="odz_49_radost@abv.bg"/>
        <s v="odz_66elica@abv.bg"/>
        <s v="odz_78@abv.bg"/>
        <s v="odz_84@abv.bg"/>
        <s v="odz_92@abv.bg"/>
        <s v="odz_prolet@abv.bg"/>
        <s v="odz.detelina@gmail.com"/>
        <s v="odz@abv.bg"/>
        <s v="odz10@mail.bg"/>
        <s v="odz101@abv.bg; cdg_1@abv.bg"/>
        <s v="odz116@abv.bg"/>
        <s v="odz123@abv.bg"/>
        <s v="odz14@abv.bg"/>
        <s v="odz15@abv.bg"/>
        <s v="odz16@abv.bg"/>
        <s v="odz17@abv.bg"/>
        <s v="odz172@abv.bg"/>
        <s v="odz175@abv.bg"/>
        <s v="odz176@abv.bg"/>
        <s v="odz18@abv.bg"/>
        <s v="odz188@abv.bg"/>
        <s v="odz20@abv.bg"/>
        <s v="odz22@abv.bg"/>
        <s v="odz23_zdrave@abv.bg"/>
        <s v="odz24@abv.bg"/>
        <s v="odz25_izvorche@abv.bg"/>
        <s v="odz28@abv.bg"/>
        <s v="odz31_lulin@mail.bg"/>
        <s v="odz32@abv.bg"/>
        <s v="odz33@abv.bg"/>
        <s v="odz34@abv.bg"/>
        <s v="odz36_peperuda@abv,bg"/>
        <s v="odz40@abv.bg"/>
        <s v="odz46@abv.bg"/>
        <s v="odz48@abv.bg"/>
        <s v="odz5@abv.bg"/>
        <s v="odz50@dir.bg"/>
        <s v="odz53@abv.bg"/>
        <s v="odz56@abv.bg"/>
        <s v="odz59@abv.bg"/>
        <s v="odz65@abv.bg"/>
        <s v="odz68@abv.bg"/>
        <s v="odz6sofia@abv.bg"/>
        <s v="odz71@abv.bg"/>
        <s v="odz72@abv.bg"/>
        <s v="odz73_sofia@abv.bg"/>
        <s v="odz76@abv.bg"/>
        <s v="odz77@abv.bg"/>
        <s v="odz80prk@abv.bg"/>
        <s v="odz81@abv.bg"/>
        <s v="odz83@abv.bg"/>
        <s v="odz85@abv.bg"/>
        <s v="odz86lulin@abv.bg"/>
        <s v="odz88@abv.bg"/>
        <s v="odz8tt@yahoo.com"/>
        <s v="odz9_sf@abv.bg"/>
        <s v="odz93@abv.bg"/>
        <s v="odz95box@gmail.com"/>
        <s v="odz96@abv.bg"/>
        <s v="odz97@mail.bg"/>
        <s v="odz98director@abv.bg"/>
        <s v="odzdenica@abv.bg"/>
        <s v="pchelica_182@mail.bg"/>
        <s v="prikazka@gbg.bg"/>
        <s v="r.s.velinova@abv.bg"/>
        <s v="rfilipova@mail.bg"/>
        <s v="saragosa51@abv.bg"/>
        <s v="sdg60@abv.bg"/>
        <s v="shturche_51@mail.bg"/>
        <s v="sluncho4@abv.bg"/>
        <s v="sunflowers_168@abv.bg"/>
        <s v="tallant@abv.bg"/>
        <s v="tancheva.odz70@gmail.com"/>
        <s v="tintiava_140@abv.bg"/>
        <s v="trajka_1@abv.bg"/>
        <s v="usmivkadet@abv.bg"/>
        <s v="virogonche_cdg162@abv.bg"/>
        <s v="vrublevska@abv.bg"/>
        <s v="zdg112@abv.bg"/>
        <s v="zdg62@abv.bg"/>
        <s v="zvunche@abv.bg"/>
        <m/>
      </sharedItems>
    </cacheField>
    <cacheField name="Интернет страница:" numFmtId="0">
      <sharedItems containsBlank="1" count="174">
        <s v="112-dg.org"/>
        <s v="125dg.com"/>
        <s v="129dg.bg"/>
        <s v="176.odz-bg.com"/>
        <s v="5dg.eu"/>
        <s v="62dg.bg"/>
        <s v="90.dgradina.eu"/>
        <s v="brezichka.com"/>
        <s v="cdg104.info"/>
        <s v="cdg119.idwebbg.com"/>
        <s v="cdg165.com"/>
        <s v="cdg1eu"/>
        <s v="cdg53.com"/>
        <s v="cdg77-magnolia.com"/>
        <s v="daga54.com"/>
        <s v="denica186.com"/>
        <s v="detskagradina-1.com"/>
        <s v="detskagradina41.com"/>
        <s v="dg_127slantse.com"/>
        <s v="dg-100.org"/>
        <s v="dg-108.com"/>
        <s v="dg-118.com"/>
        <s v="dg-121.com"/>
        <s v="dg-133.com"/>
        <s v="dg-154.com"/>
        <s v="dg-159.com"/>
        <s v="dg-23.com"/>
        <s v="dg-30.com"/>
        <s v="dg-53.com"/>
        <s v="dg-63.eu"/>
        <s v="dg-valshebensvyiat.com"/>
        <s v="dg105-raketa.com"/>
        <s v="dg107"/>
        <s v="dg128feniks.com"/>
        <s v="dg138.info"/>
        <s v="dg141.com"/>
        <s v="dg143-shturche.com"/>
        <s v="dg148-slance.com"/>
        <s v="dg151.eu"/>
        <s v="dg161laska.bg"/>
        <s v="dg162.net"/>
        <s v="dg164zornica1.bg"/>
        <s v="dg171-svoboda.com"/>
        <s v="dg182pchelica.com"/>
        <s v="dg187jarptica.com"/>
        <s v="dg188.info"/>
        <s v="dg195.com"/>
        <s v="dg21.bg"/>
        <s v="dg25.info"/>
        <s v="dg34.bg"/>
        <s v="dg35.info"/>
        <s v="dg37sofia.com"/>
        <s v="dg3sofia.com"/>
        <s v="dg42.eu"/>
        <s v="dg43-talant.com"/>
        <s v="dg46sofia.com"/>
        <s v="dg49-radost.org"/>
        <s v="dg57_hosemarti.com"/>
        <s v="dg61slatina.com"/>
        <s v="dg65"/>
        <s v="dg67sf.com"/>
        <s v="dg71-shtastie.com"/>
        <s v="dg76.bg"/>
        <s v="dg78detskisvqt.com"/>
        <s v="dg93.bg"/>
        <s v="dgdetelina.com"/>
        <s v="dugata.wordpress.com"/>
        <s v="htpps://51odz.com"/>
        <s v="http://116dg.com/"/>
        <s v="http://200.deckagradina.info"/>
        <s v="http://97.cdg.bg/"/>
        <s v="http://dg103.net/"/>
        <s v="http://dg11-mikimaus.com/"/>
        <s v="http://dg123sharl-pero.com/"/>
        <s v="http://dg136.com/"/>
        <s v="http://dg198-kosebose.com/"/>
        <s v="http://dg19svetasofia.info/"/>
        <s v="http://dg32-bulgarche.com/"/>
        <s v="http://dg44kalina.com/"/>
        <s v="http://dg60bor.com/"/>
        <s v="http://odz178.deckagradina.info/"/>
        <s v="http://peperuda36.com"/>
        <s v="http://slanchevamechta.com/"/>
        <s v="http://www.cdg166.com"/>
        <s v="http://www.dg174fiut.com"/>
        <s v="http://www.dg175.eu/bg/"/>
        <s v="http://www.dg193.com"/>
        <s v="http://www.dg72.eu/bg/"/>
        <s v="http:dg-4.com"/>
        <s v="https://124cdg.eu/bg/"/>
        <s v="https://84dgdetelina.com"/>
        <s v="https://dg-14.com/"/>
        <s v="https://dg113-prespa.eu"/>
        <s v="https://www.106dg.com"/>
        <s v="https://www.dg185.bg"/>
        <s v="https://www.kgbukata.bg/"/>
        <s v="https://дг69.com/"/>
        <s v="https//dg-82.com"/>
        <s v="https//sop.bg/dg152-826/"/>
        <s v="kg117@net"/>
        <s v="koledarche.com"/>
        <s v="korabche.com"/>
        <s v="ldg134.eu"/>
        <s v="malkiyatprinc.eu"/>
        <s v="odz-buhovo.com"/>
        <s v="odz10-cheburashka.eu"/>
        <s v="odz101.bg"/>
        <s v="odz120.com"/>
        <s v="odz16.com"/>
        <s v="odz22-velikdenche.com"/>
        <s v="odz27"/>
        <s v="odz47.info"/>
        <s v="odz48.com"/>
        <s v="odz50.bg"/>
        <s v="odz55.blogspot.com"/>
        <s v="odz59.com"/>
        <s v="odz79.net"/>
        <s v="odz81.com"/>
        <s v="pchelica.webnode.com"/>
        <s v="rosna-kitka.eu"/>
        <s v="saragosa199.com"/>
        <s v="w.w.w.svetulka-bg.com"/>
        <s v="www.100smiles.eu"/>
        <s v="www.147dg.com"/>
        <s v="www.181dg.com"/>
        <s v="www.39odz.com"/>
        <s v="WWW.cdg45alisa.com"/>
        <s v="www.cdg9.com"/>
        <s v="www.deckagradina.info"/>
        <s v="www.detskagradina58.com"/>
        <s v="www.dg-183.com"/>
        <s v="www.dg-70prolet.com"/>
        <s v="www.dg145.bg"/>
        <s v="www.dg146zvezdica.com"/>
        <s v="www.dg155.com"/>
        <s v="www.dg179.bg"/>
        <s v="www.dg17sofia.com"/>
        <s v="www.dg18.org"/>
        <s v="www.dg180.org"/>
        <s v="www.dg192.bg"/>
        <s v="www.dg194.com"/>
        <s v="www.dg20eu"/>
        <s v="www.dg28.info"/>
        <s v="www.dg2zvunche-sofia.com"/>
        <s v="www.dg31lulin.com"/>
        <s v="www.dg64.eu"/>
        <s v="www.dg68-ranbosilek.com"/>
        <s v="www.dg73-margarita.com"/>
        <s v="www.dg74-daga.com"/>
        <s v="www.dg75.bg"/>
        <s v="www.dg80.bg"/>
        <s v="www.dg86-asenbosev.com"/>
        <s v="www.dg97-izgrev.com"/>
        <s v="www.dgkalina.bg"/>
        <s v="www.dglilia.bg"/>
        <s v="www.dgrodina.bg"/>
        <s v="www.Ilindenche.net"/>
        <s v="www.kalinkabg.com"/>
        <s v="www.mechopuh.info"/>
        <s v="www.odz140.com"/>
        <s v="www.odz29.com"/>
        <s v="www.odz33.com"/>
        <s v="www.odz56.com"/>
        <s v="www.odz60.com"/>
        <s v="www.odz88.com"/>
        <s v="www.odz91.com"/>
        <s v="www.odz92.com"/>
        <s v="www.odz98bg.com"/>
        <s v="www.odzelica.com"/>
        <s v="www.sunflowers168.eu"/>
        <s v="В момента се изготвя"/>
        <s v="лютиче.com"/>
        <s v="няма"/>
        <m/>
      </sharedItems>
    </cacheField>
    <cacheField name="Директор (име, презиме, фамилия):" numFmtId="0">
      <sharedItems count="194">
        <s v="Eлза Михайлова Иванова"/>
        <s v="Eмилия Велинова Такова"/>
        <s v="Августина Георгиева Русева"/>
        <s v="Аксиния Христова Петкова"/>
        <s v="АЛБЕНА ПЕТРОВА ИВАНОВА"/>
        <s v="Александра Григорова Атанасова"/>
        <s v="Ана Георгиева Зографова-Лишкова"/>
        <s v="Ани Томова Попова"/>
        <s v="Анна Иванова Ганчева"/>
        <s v="Антоанета Иванова Кръстанова"/>
        <s v="Антоанета Иванова Цанева"/>
        <s v="Антоанета Николова Хаджийска"/>
        <s v="Антонета Трендафилова Малинова"/>
        <s v="Ариета Вичишта "/>
        <s v="Афродита Димитрова Ильовска-Стефанова"/>
        <s v="Биляна Тодорова Найденова"/>
        <s v="Бойка Стефанова Джунакова"/>
        <s v="Валентина Петрова Колева"/>
        <s v="Ваня Илиева Георгиева"/>
        <s v="Ваня Тодорова Тодорова"/>
        <s v="Васка Йорданова Амзина"/>
        <s v="Вела Сергиева Горова"/>
        <s v="Велизара Костадинова Стоименова"/>
        <s v="Величка Петрова Попова"/>
        <s v="Венелина Валериева Шпицер"/>
        <s v="Венета Костадинова Ковачка"/>
        <s v="Верка Георгиева Кирчева"/>
        <s v="Весела Асенова Стефанова"/>
        <s v="Веселина Момчилова Георгиева"/>
        <s v="Виолета Николова Караденчева"/>
        <s v="Виолета Николова Коцева "/>
        <s v="Виолета Цветанова Гълъбова"/>
        <s v="Виолета Ценова Дряновска"/>
        <s v="Виталия Христова Коцева "/>
        <s v="Габриела Ерменчова Станкова"/>
        <s v="Галина Борисова Иванова"/>
        <s v="Галина Димитрова Христова"/>
        <s v="ГАЛИНКА ИВАНОВА ХРИСТОВА"/>
        <s v="Галя Димитрова Бързева"/>
        <s v="Гергана Августова Цанева"/>
        <s v="Гергана Алексиева Василева"/>
        <s v="Гергана Иванова Цанкова"/>
        <s v="Гергана Кръстанова Георгиева-Кирилова"/>
        <s v="Гергана Любомирова Делиджашка"/>
        <s v="Гергана Николаева Петрова"/>
        <s v="Даниела Иванова Блатечка"/>
        <s v="Даниела Николаева Кулинска"/>
        <s v="ДЕСИСЛАВА АНГЕЛОВА НИКОЛОВА"/>
        <s v="Десислава Григорова Лучкова- Йорданова"/>
        <s v="Десислава Кьосева"/>
        <s v="Десислава Янкова"/>
        <s v="Детелина Минкова Йорданова"/>
        <s v="Диана Рангелова Трифонова- Танчева"/>
        <s v="Диана Светославова Цветанова"/>
        <s v="Димитринка Илиева Йорданова"/>
        <s v="Димитринка Кирилова Лозанова"/>
        <s v="Дора Александрова Лисева"/>
        <s v="Дочка Стоянова Мичева"/>
        <s v="Драга Цветкова Шопова"/>
        <s v="Евелина Евгениева Корчева-Станчева"/>
        <s v="Елвира Захариева Омайникова"/>
        <s v="Елена Венцеславова Димитрова"/>
        <s v="Елена Иванова"/>
        <s v="Елена Панталеева Чавдарова"/>
        <s v="Елена Райчева Ватрачка"/>
        <s v="Елеонора Георгиева Стоименова"/>
        <s v="Елеонора Димитрова Стоилкова"/>
        <s v="Елина Иванова Джурджова"/>
        <s v="Емилия Василева Караиванова"/>
        <s v="Емилия Илиева Петрова"/>
        <s v="Емилия Павлова Лещарова"/>
        <s v="Ерика Христова Младенова"/>
        <s v="Жанин Костадинова Траянова - Ценова"/>
        <s v="Жечка Георгиева Берова-Михалева"/>
        <s v="ЗЛАТЕЛИНА МИЛКОВА ЕНЕВА"/>
        <s v="Иванка Петрова Иванова"/>
        <s v="ИВАНКА ПЕТРОВА ХАРБАЛИЕВА"/>
        <s v="Иванка Христова Тончева"/>
        <s v="Илонка Лазарова Стоянова "/>
        <s v="Ирина Филипова Якимова"/>
        <s v="Йорданка Милчева Манова"/>
        <s v="Калина Илиева Кръстева"/>
        <s v="Камелия Кольова Богданова"/>
        <s v="Камелия Младенова Чукунова"/>
        <s v="Катя Йорданова Йорданова - Радкова"/>
        <s v="Катя Кирилова Цолова"/>
        <s v="Корнелия Стефанова Танева"/>
        <s v="Костадинка Петрова Георгиева"/>
        <s v="Красимира Виденова Стоянова"/>
        <s v="Красимира Кирилова Стоянова"/>
        <s v="Ксения Стоянова Семизорова"/>
        <s v="Лидия Бучукова"/>
        <s v="Лидия Илиева Владимирова"/>
        <s v="Лилия Романова Костова"/>
        <s v="Лиляна Николова Василева"/>
        <s v="Липка Стефчова Николова"/>
        <s v="Людмила Асенова Савова"/>
        <s v="Магрета Страхилова Андреева"/>
        <s v="Малинка Стефанова Петрова"/>
        <s v="Маргарита Илиева Иванова"/>
        <s v="Мариана Стоянова Бъчварова"/>
        <s v="Мариела Ангелова Григорова"/>
        <s v="Мариета Йорданова Велкова"/>
        <s v="Мария Борисова Христова"/>
        <s v="Мария Ганчева Врачева"/>
        <s v="Мария Иванова Стоянова"/>
        <s v="Мария Илиева Езекиева"/>
        <s v="Мария Илиева Панайотова"/>
        <s v="Мария Цветкова Йорданова"/>
        <s v="Мария Яворова Цанева"/>
        <s v="Марияна Христова Янкова"/>
        <s v="Мая Благоева Петрова"/>
        <s v="Мая Иванова Николова"/>
        <s v="Мая Миткова Башева"/>
        <s v="Мая Михайлова Гергова"/>
        <s v="Миглена Валериева Кръстева"/>
        <s v="Миглена Методиева Филчева"/>
        <s v="Миглена Милкова Стойнова"/>
        <s v="Милена Василева Митова"/>
        <s v="Милена Георгиева Господинова"/>
        <s v="Милена Георгиева Джолева"/>
        <s v="Милена Димитрова Ламбова"/>
        <s v="Милена Милева Русинова"/>
        <s v="Мирела Косева Гошкарян-Маринова"/>
        <s v="Михаела Огнянова Милкова- Цанкова"/>
        <s v="Надежда Николаевна Тончева"/>
        <s v="Надка Николова Пачеджиева"/>
        <s v="Надя Валентинова Йовчева"/>
        <s v="Надя Цветанова Велкова"/>
        <s v="Найда Василева Иванова"/>
        <s v="Наталия Борисова Димитрова- Златанова"/>
        <s v="Наталия Миланова Маринова"/>
        <s v="Наталия Николова Преславска"/>
        <s v="Нели Ангелова Ангелова"/>
        <s v="Нели Антова Петкова"/>
        <s v="Нели Икономова Мирчева"/>
        <s v="Нели Николова"/>
        <s v="Николина Ангелова "/>
        <s v="Нина Георгиева Дончева"/>
        <s v="Нина Маркова Иванова"/>
        <s v="Олга Александрова Иванова"/>
        <s v="Олга Николова Сотева"/>
        <s v="Паулина Андреева"/>
        <s v="Пенка Петкова Вутева"/>
        <s v="Пепи Миланова Асенова"/>
        <s v="Петя Ангелова Благоева"/>
        <s v="Петя Ангелова Радева"/>
        <s v="Петя Иванова Йосифова"/>
        <s v="Петя Трифонова Янкова"/>
        <s v="Полина Маринова Йорданова"/>
        <s v="Първолета Ангелова Петрова"/>
        <s v="Равина Иванова Пешева"/>
        <s v="Радка Иванова Панайотова"/>
        <s v="Райна  Симеонова Велинова"/>
        <s v="Розалия Маринова Филипова"/>
        <s v="Росица Иванова Манова"/>
        <s v="Румяна  Петрова Капланова"/>
        <s v="Румяна Георгиева Узунска"/>
        <s v="Румяна Илиева Точева"/>
        <s v="Румяна Йорданова Милева"/>
        <s v="Румяна Йорданова Стоилова"/>
        <s v="Светла Борисова Петрова"/>
        <s v="Светла Петрова Кенанова"/>
        <s v="Светла Христова Анчова "/>
        <s v="Светослава Борисова Маринова"/>
        <s v="Слава Бориславова Василева"/>
        <s v="Славка Иванова Костова"/>
        <s v="Снежана Асенова Банова"/>
        <s v="Снежана Стоянова Радева"/>
        <s v="Снежанка Асенова Врублевска"/>
        <s v="Снежанка Атанасова Тодорова"/>
        <s v="Снежина Антонова Мишева"/>
        <s v="София Петрова Минева"/>
        <s v="София Христова Янкулова"/>
        <s v="Станка Илиева Трифонова-Кукова"/>
        <s v="Стефка Димитрова Илиева"/>
        <s v="Стефка Димитрова Рабаджиева"/>
        <s v="Таня Иванова Милорова"/>
        <s v="Таня Кечева"/>
        <s v="Татяна Иванова Величкова"/>
        <s v="Татяна Иванова Радева"/>
        <s v="Татяна Петкова Бакалова"/>
        <s v="Теменужка Борисова Димитрова"/>
        <s v="Теодора Асенова Йосифова"/>
        <s v="Тотка Георгиева Керемидчиева"/>
        <s v="Трайка Кирилова Бързева"/>
        <s v="Трендафилка Иванова Анчева"/>
        <s v="Христина Георгиева Петрова"/>
        <s v="Христина Иванова Стратиева"/>
        <s v="Цеца Асенова Николова"/>
        <s v="Цеца Георгиева Стоянова"/>
        <s v="Цеца Йорданова Василева- Стайкова"/>
        <s v="Юлия Андреева танева"/>
        <s v="Юлия Иванова Георгиева"/>
      </sharedItems>
    </cacheField>
    <cacheField name="Акт за общинска собственост (номер и дата):" numFmtId="0">
      <sharedItems containsBlank="1" containsMixedTypes="1" containsNumber="1" containsInteger="1" minValue="1" maxValue="8701" count="181" longText="1">
        <n v="1"/>
        <n v="773"/>
        <n v="886"/>
        <n v="1966"/>
        <n v="8701"/>
        <s v="0010 /22.10.1996 г."/>
        <s v="0186-26.04.2004"/>
        <s v="0218/18.06.2010г."/>
        <s v="0246/12.09.2011"/>
        <s v="0696 /28.04.1999  и  1633/12.02.2013 г."/>
        <s v="0700/28.04.1999 г.; 0701/28.04.1999 г.; 0735/24.09.1999 г."/>
        <s v="1.Акт № 776/03.04.2000г., 2.Акт №1336 / 29.01.2003г."/>
        <s v="100/01.03.1956 г."/>
        <s v="11/22.01.1997 г."/>
        <s v="1191/21.11.1996 г."/>
        <s v="1270 от 26.11.2009 г."/>
        <s v="13/22.01.1997г."/>
        <s v="14/23.10.1996"/>
        <s v="1408/12.12.1996 год."/>
        <s v="15.10.2014 г."/>
        <s v="163 / 2002г."/>
        <s v="1732 / 29.11.2016 г."/>
        <s v="1752/07.03.2018 г."/>
        <s v="18/17.02.1997 г. "/>
        <s v="1954/ 2012"/>
        <s v="2/26.08.1983г"/>
        <s v="2/5.12.1996г."/>
        <s v="2186/05.08.2014г."/>
        <s v="2215/03.08.2018 г."/>
        <s v="2216/03.08.2018г."/>
        <s v="2218/09.08.2018"/>
        <s v="2219/09.08.2018 г."/>
        <s v="2221/09.08.2018"/>
        <s v="2229000907/07.06.2005 г."/>
        <s v="2352831.03.1965"/>
        <s v="2840/29.06.2016 г."/>
        <s v="29/17.09.1996 г."/>
        <s v="2984/19.10.2012  3118/19.03.2013 "/>
        <s v="3004/ 2016г."/>
        <s v="3054/30.11.2017 г."/>
        <s v="3056 от 30.11.2017 г."/>
        <s v="308/09.11.1998г"/>
        <s v="3120/24.10.2016г."/>
        <s v="3148/24.09.1984г."/>
        <s v="317/13.05.1998г."/>
        <s v="318 /13.05.1998 г."/>
        <s v="34 от 17.09.1996 г."/>
        <s v="348/18,03,1998 Г."/>
        <s v="35/17.09.1996г."/>
        <s v="38/17.09.1996г."/>
        <s v="454-1962Г."/>
        <s v="483/16.12.1996 г."/>
        <s v="5092/23.05.1963 г., 669/02.09.2002 г., 1058/10.07.2012 г."/>
        <s v="552/07.10.2010"/>
        <s v="554, 1118, 1158"/>
        <s v="5785/27.05.2016 г."/>
        <s v="765/17.11.2000"/>
        <s v="768/21.11.2000 г."/>
        <s v="8/01.06.1996"/>
        <s v="845/27.10.2000г."/>
        <s v="8848 от 24.06.2014 год."/>
        <s v="8850/24.06.2014 г."/>
        <s v="948/14.03.2013 г."/>
        <s v="№ 0007/21.10.1996 г. (сграда1); &#10;№ 0004/21.10.1996 г. (сграда2)"/>
        <s v="№ 0020/25.10.1996 г."/>
        <s v="№ 028 от 23.05.1997"/>
        <s v="№ 0698/28.04.1999 г."/>
        <s v="№ 0704/28.04.1999 г.;  № 0734/24.09.1999 г."/>
        <s v="№ 0707/05.05.1999 г."/>
        <s v="№ 0708/05.05.1990"/>
        <s v="№ 1104/23.09.2002 г. (гр. София, ул. &quot;Слънце&quot; № 2)"/>
        <s v="№ 112/20.03.1997 г."/>
        <s v="№ 1170/ 05.02.2003 г."/>
        <s v="№ 1184/26.09.2012"/>
        <s v="№ 12/22.01.1997 г.; № 17/23.10.1997 г. (втората сграда)"/>
        <s v="№ 1322/28.04.2006 г.; № 1515/09.10.2009 г.; &#10;№ 1127/20.01.2014 г."/>
        <s v="№ 1346/ 04.11.2014"/>
        <s v="№ 139 от 07.02.1997 г.; &#10;№ 78 от 27.01.1997 г.; &#10;№ 48 от 16.01.1997 г.; &#10;№ 87 от 28.01.1997 г.; &#10;№ 76 от 27.01.1997 г.; &#10;№ 679 от 13.03.1997 г.; &#10;№ 687 от 14.03.1997 г.; &#10;№ 2348 от 21.07.2008 г. "/>
        <s v="№ 1446 от 15. 03. 2010 г."/>
        <s v="№ 15/13.12.1996 г."/>
        <s v="№ 167 том LXIV"/>
        <s v="№ 1731 от 08.11.2016 г."/>
        <s v="№ 184 от 22.07.1997 г."/>
        <s v="№ 1920/03.04.2013 г."/>
        <s v="№ 1960 / 24.09.2012"/>
        <s v="№ 2 от 11.07.1952 година"/>
        <s v="№ 20/26.02.1997 г.; № 24/27.02.1997 г."/>
        <s v="№ 22/17.09.19961"/>
        <s v="№ 22/22.02.1997 г."/>
        <s v="№ 2220/ 09.08.2018"/>
        <s v="№ 23 / 17.09.1996 г."/>
        <s v="№ 257 от 15.01.1988 г."/>
        <s v="№ 2603/26.02.2016 г.; № 1964/25.09.2012 г.; &#10;№ 2578/26.01.2012 г."/>
        <s v="№ 2707 от РЗ26"/>
        <s v="№ 2751 и № 2752 от 25.09.2012 г."/>
        <s v="№ 28/17.09.1996 г."/>
        <s v="№ 2921 / 14.11.2014 г."/>
        <s v="№ 298/26.10.1998 г."/>
        <s v="№ 3005/11.09.2015 г."/>
        <s v="№ 3007 от дата 09.11.2016 г."/>
        <s v="№ 3053/ 17.11.2017 г."/>
        <s v="№ 3055"/>
        <s v="№ 315/23.11.1996"/>
        <s v="№ 36/17.09.1996 г."/>
        <s v="№ 373/18.03.1999 г."/>
        <s v="№ 4139 / 01.12.1971г."/>
        <s v="№ 462/30.09.1998 г."/>
        <s v="№ 4678/07.11.2003"/>
        <s v="№ 4901/2008 г. на Район Лозенец"/>
        <s v="№ 555/11.05.2001, № 1131/06.11.2013, № 960/20.04.2011"/>
        <s v="№ 6065/12.04.1968 г."/>
        <s v="№ 7127/01.04.1970 г.; № 1128/20.01.2004 г."/>
        <s v="№ 7841"/>
        <s v="№ 789/22.01.2002; № 1658/29.09.2014"/>
        <s v="№ 791/21.01.2002 г. и № 1546/30.08.2010 г."/>
        <s v="№ 7938/19.09.2012 г."/>
        <s v="№ 81221342 от 08.06.1977 г."/>
        <s v="№ 828 / 10.11.2006г. ; № 556/ 07.06.2007г."/>
        <s v="№ 8290 / 15.07.2013 г."/>
        <s v="№ 844/27.10.2000 г."/>
        <s v="№ 8846/24.06.2014"/>
        <s v="№ 9 / 22.01.1997 г."/>
        <s v="№ 95/04.08.1997 г."/>
        <s v="№ 970/24.07.1997 г."/>
        <s v="№ АОС1625/ 16.06.2009 г."/>
        <s v="№0008/22.10.1996г."/>
        <s v="№1160/1998г."/>
        <s v="№1342 от 15.10.2014г."/>
        <s v="№1371 от 17.07.2008г.,№1534 от 07.07.2010г.,№237 от 17.07.1997г., №239 от 17.07.1997г., №27 от 18.02.1997г., №525 от 10.05.1999г., №682 от 02.02.2000г.; "/>
        <s v="№1512 от 15.10.2003г"/>
        <s v="№168/19.12.1997; №1542/23.08.2010"/>
        <s v="№19/17.09.1996"/>
        <s v="№2 /15.09.1948 г."/>
        <s v="№21/17.09.1996г.-Сграда 1 , №2364/31.05.2018г. - Сграда 2"/>
        <s v="№21/26.02.1997"/>
        <s v="№277/17.09.1996г."/>
        <s v="№30/17.09.1996 г."/>
        <s v="№3006/2017г."/>
        <s v="№3665 от 07.09.2015 г"/>
        <s v="№434/11.11.1996г."/>
        <s v="№464/1978г."/>
        <s v="№4715/12.05.2004"/>
        <s v="№712/21.06.2001 и №954/26.07.2004"/>
        <s v="№716/12.05.2004"/>
        <s v="№774 от 23.11.2000г."/>
        <s v="№8495, 20.05.1974г."/>
        <s v="№8842 от 24.06.2014г."/>
        <s v="№8845/06.08.2014"/>
        <s v="АДС № 5843/10.04.1984; № 1074/24.06.2002"/>
        <s v="Акт № 10220/17.03.1983 г."/>
        <s v="Акт № 16 за Общинска собственост от 17.09.1996 год."/>
        <s v="Акт № 18/26.02.1997 г., Акт № 17/26.02.1997 г."/>
        <s v="Акт № 2026 за Публична общинска собственост от 24.04.2014 г."/>
        <s v="Акт № 2072/01.04.2013 г. (за сградите на ул. &quot;Иван Момчилов&quot; № 44);&#10;Акт № 118/19.03.1997 г. (за филиал ул. &quot;Бял люляк&quot;)"/>
        <s v="Акт № 4863/18.07.2014 г.; Акт № 5059/02.02.2015 г.; Акт № 5060/02.02.2015 г."/>
        <s v="Акт № 788 от 22.01.2002г."/>
        <s v="Акт № 7958/21.09.2012"/>
        <s v="Акт №16/26.02.1997г."/>
        <s v="Акт №2085/2013г. (АОС № 111/20.03.1997г.)"/>
        <s v="акт. № 85158/19.10.1978"/>
        <s v="АОС № 505/01.01.1970 (осн.сграда); &#10;АОС № 909/01.01.1963 (филиал); &#10;АОС № 1010/01.01.2011 (нова сграда)"/>
        <s v="АОС №10 / 22.01.1997 г."/>
        <s v="АОС №160/08.06.1998г. , АОС №1221/29.07.2014 г."/>
        <s v="АОС №26 / 17.09.1996"/>
        <s v="АОС.№  1004/2002г.  чл.2, ал.1, т.9 н чл.З, ал.2,т.2отЗОС; АОС № 1006/2002 -чл.2, ал.1, т.9 и чл.З. ал. 2. т.2 от ЗОС ;  АОС№2935/2014г. Чл.2, ал.1т.7 , чл.3, ал.2 т.1 и чл59, ал.1 от ЗОС и Реш №324 /29.052014 СОС;                                  АОС № 15 29 /2004 чл.2, ал.1, т,9 и чл.З, ал,2. т.2 от ЗОС; АОС №  1527/2004 чл.З, ал.1, т.9 и чл.З, ал. 2, т. 2 от ЗОС;  АОС  №1528/2004г чл.2, ал.1, т.9 к чл.З. а.1,2. т,2 от ЗОС гр. София ж.к. Павлово Бъкстон бл.25"/>
        <s v="ДС № 2137/29.01.1981, № 31/17.09.1986"/>
        <s v="за първи обект: № 2729/15.05.1963 г. &#10;За втори обект: № 3410/11.04.1969 г."/>
        <s v="Заповед № СО-РД-09-1400/13.06.2014"/>
        <s v="ЗАПОВЕД № СО15–РД–099654 / 17.06.2015 г."/>
        <s v="Образец 16/25.12.1984 г."/>
        <s v="помещава се в 152 ОУ"/>
        <s v="Решение № VI-1454 от 13.10.1966 г."/>
        <s v="с. Горни Богров: № 105/26.02.1997 г.; &#10;филиал с. Яна: № 204/03.04.1997 г."/>
        <s v="сграда № 1- акт № 1956/18.09.2012;&#10;сграда № 2 - акт № 2529/26.11.2015"/>
        <s v="СОА18-ВК08-14762[176]/10.12.2018;  СОА18-ВК08-6141[159]/22.05.2017"/>
        <s v="Строи се нова сграда"/>
        <s v="Удостоверение №864/05.08.2009 г., разрешение за ползване №ДК-07-С-268 / 09.12.2011 г."/>
        <s v="централа (ул. &quot;Дебър&quot; № 22) - № 1660/ 09.10.2014 г.; &#10;филиал (ул. &quot;Хубча&quot; бл. 195) - № 1607/10.10.2012 г.; &#10;яслен блок (ул. &quot;Дебър&quot; № 16) - № 599/09.07.2000 г."/>
        <s v="централа: акт № 4031 от 15.07.2015 г.&#10;филиал Доброславци: акт № 2974 от 26.09.2012 г."/>
        <s v="централна - 790/22.01.2002 г. &#10;БЛ.1 - № 514/03.12.1999&#10;БЛ.4 - № 1129/27.01.2004&#10;Бл.6 - № 1130/27.01.2004&#10;Бл.23 - № 516/03.12.1999&#10;Бл.31 - № 518/06.12.1999"/>
        <m/>
      </sharedItems>
    </cacheField>
    <cacheField name="Брой сгради (в т.ч. филиали):" numFmtId="0">
      <sharedItems containsString="0" containsBlank="1" containsNumber="1" containsInteger="1" minValue="1" maxValue="7" count="8">
        <n v="1"/>
        <n v="2"/>
        <n v="3"/>
        <n v="4"/>
        <n v="5"/>
        <n v="6"/>
        <n v="7"/>
        <m/>
      </sharedItems>
    </cacheField>
    <cacheField name="Адрес и телефон на сграда/филиал 1: " numFmtId="0">
      <sharedItems containsBlank="1" containsMixedTypes="1" containsNumber="1" containsInteger="1" minValue="0" maxValue="0" count="130">
        <n v="0"/>
        <s v=" ж.к. &quot;Люлин&quot;, ул. &quot;Георги Икономов&quot; № 6; тел. 0889366310"/>
        <s v=" Филиал &quot;Експериментална сграда&quot; - с. Казичене, ул. &quot;Хан Крум&quot; № 2, телефон: 029997471"/>
        <s v="02/ 4832883"/>
        <s v="02/9440190"/>
        <s v="1.  Централна сграда - гр. София, кв. &quot;Павлово&quot;, ул. &quot;Мусала&quot; № 7; тел. 02/8550047"/>
        <s v="Връбница 1, бл. 510, вх. Б и В, тел.: 02/934 66 10"/>
        <s v="гр .София, ж.к. &quot;Младост-1А&quot;, ул. &quot;Сърчице&quot; № 4"/>
        <s v="гр. Нови Искър, кв. &quot;Курило&quot;, ул. &quot;Кременица&quot; № 18; &#10;тел. 0884801727 "/>
        <s v="гр. София ул. &quot;Струга&quot; № 15А, тел. 02/8313140"/>
        <s v="гр. София, ж.к. &quot;Люлин&quot;, ул. &quot;Петър Бонев&quot; № 3"/>
        <s v="гр. София, ж.к. &quot;Люлин&quot;, ул. &quot;Полк. Никола Попов&quot; № 3"/>
        <s v="гр. София, ж.к. &quot;Младост-1&quot;, ул. Димитър Доспевски № 27"/>
        <s v="гр. София, ж.к. &quot;Младост&quot;ул. &quot;Детска приказка&quot;№ 4"/>
        <s v="гр. София, кв. &quot;Драгалевци&quot;, ул. &quot;Захари Зограф&quot; № 1 "/>
        <s v="гр. София, кв. &quot;Младост-1&quot;, ул. &quot;Боян Дановски&quot; № 3"/>
        <s v="гр. София, кв. &quot;Христо Ботев&quot;, ул. &quot;502-ра&quot;, № 6; &#10;тел. 02/9450663"/>
        <s v="гр. София, кв. Суходол, ул. &quot;Овчо поле&quot; № 16"/>
        <s v="гр. София, п.к. 1632, район &quot;Овча купел&quot;, ул. &quot;Детелина&quot; № 1"/>
        <s v="гр. София, ул. &quot;Кумановски бой&quot; № 16, тел. 02/938 2957"/>
        <s v="гр. София, ул. &quot;Любородие&quot; № 4, 02/9382922"/>
        <s v="гр. София, ул. &quot;Мизия&quot; № 6, тел. 02/944 17 22"/>
        <s v="гр. София, ул. &quot;Неофит Бозвели&quot; № 26"/>
        <s v="гр. София, ул. &quot;Овчо поле&quot; № 123"/>
        <s v="гр. София, ул. &quot;Св. Никола Нови&quot; № 12, тел. 029387164"/>
        <s v="град Банкя, ул. &quot;Петко Д. Петков&quot; № 15"/>
        <s v="град София - 1345, ул. &quot;Кукуш&quot; 34, 02 8210025"/>
        <s v="Една сграда с два блока А/Б; &#10;ул. &quot;Еужен Поатие&quot; № 1; тел. 02/8720390"/>
        <s v="ж.к. ,,Дружба-2&quot;, ул. ,,Димитър Пешев&quot; № 21"/>
        <s v="ж.к. &quot;Бъкстон&quot;, бл. 8"/>
        <s v="ж.к. &quot;Дружба-1&quot;, ул. &quot;5048&quot; № 5"/>
        <s v="ж.к. &quot;Дружба-2&quot;, ул. &quot;Ханс Кр. Андерсен&quot; № 6;&#10;тел. 02/9791138; 02/9732463"/>
        <s v="ж.к. &quot;Дружба-2&quot;, ул. &quot;Ханс Кристиан Андерсен&quot; № 10"/>
        <s v="ж.к. &quot;Западен парк&quot;, ул. &quot;Суходолска&quot; № 2 (до 17 СОУ)"/>
        <s v="ж.к. &quot;Лев Толстой&quot;, ул. &quot;Генерал Жостов&quot; № 1"/>
        <s v="ж.к. &quot;Левски-Г&quot;, ул. &quot;Поручик Георги Кюмюрджиев&quot; № 2; &#10;тел. 02/946-6100"/>
        <s v="ж.к. &quot;Люлин-10&quot;, ул. &quot;Тома Давидов&quot; № 44"/>
        <s v="ж.к. &quot;Люлин-5&quot;, ул. &quot;501-ва&quot; "/>
        <s v="ж.к. &quot;Люлин&quot;, ул. &quot;Тома Давидов&quot; № 3"/>
        <s v="ж.к. &quot;Младост 4&quot;, ул. &quot;Детска мечта&quot; № 22"/>
        <s v="ж.к. &quot;Младост-3&quot;, ул. &quot;Николай Николаев&quot; № 13"/>
        <s v="ж.к. &quot;Младост-3&quot;, ул. &quot;Полк. Владимир Серафимов&quot; № 10, &#10;тел. 02/8746110"/>
        <s v="ж.к. &quot;Младост&quot; 2, ул. &quot;Васил Карагьозов&quot; № 8; &#10;тел. 0899922377"/>
        <s v="ж.к. &quot;Младост&quot;, ул. &quot;Бъднина&quot; № 17, тел. 02/874 00 56"/>
        <s v="ж.к. &quot;Надежда-1&quot;, ул. &quot;Кирил Дрангов&quot; № 14"/>
        <s v="ж.к. &quot;Овча купел-2&quot;, ул. &quot;Сребърни звънчета&quot; № 4"/>
        <s v="ж.к. &quot;Света троица&quot;, бл. 313, вх. А; GSM 0877108625"/>
        <s v="ж.к. &quot;Стрелбище&quot;, ул. &quot;Деде Агач&quot; № 42; тел. 02/9581825"/>
        <s v="ж.к&quot;Бели брези&quot;бл.1"/>
        <s v="Зона Б-5, ул. &quot;Осогово&quot; №1"/>
        <s v="кв. &quot;Бояна&quot;, ул. &quot;Детски мир&quot; № 5, &#10;тел. 02/9592933, 02/9592920, 0884 801 659"/>
        <s v="кв. &quot;Враждебна&quot;, ул. &quot;27-ма&quot; № 3; тел. 02/8406335 "/>
        <s v="кв. &quot;Илиенци&quot;, ул. &quot;Фикус&quot; № 2; тел. 02 838 10 21"/>
        <s v="кв. &quot;Кремиковци&quot;, ул. &quot;Св. Св. Кирил и Методий&quot; № 2, &#10;тел.: 02/994-70-49"/>
        <s v="кв. &quot;Овча купел&quot;, бул.&quot;Никола Петков&quot; № 90,&#10;тел. 02/8562998"/>
        <s v="кв. &quot;Филиповци&quot;, ул. &quot;Поручик Хранов&quot; № 5 "/>
        <s v="Младост 3, ул. &quot;Д-р Н. Николаев&quot; 11"/>
        <s v="Нови Искър ул. &quot;Беласица&quot; №26 тел:029917376"/>
        <s v="с. Бистрица, ул. &quot;Тинтява&quot; № 6; тел. 0884801757"/>
        <s v="с. Бусманци, ул. &quot;Крива ливада&quot; № 11А, 0878 907 835"/>
        <s v="с. Владая, ул. &quot;Ела&quot; № 6; тел. 02/999 10 32"/>
        <s v="с. Волуяк, ул. Зорница № 42, тел. 02/998 90 41"/>
        <s v="с. Долни Богров, ул. &quot;10-та&quot;, № 27, теефон: 02/9951802"/>
        <s v="с. Железница, ул. &quot;Плана планина&quot; № 26"/>
        <s v="с. Лозен, ул. &quot;Янко Панайотов&quot; № 29, тел. 02/9926304"/>
        <s v="с. Световрачене, ул. &quot;Миладин Цветков&quot;, № 3"/>
        <s v="с. Чепинци, ул. &quot;Стара планина&quot; № 1"/>
        <s v="с. Яна, ул. &quot;Райна Княгиня&quot; № 4"/>
        <s v="сграда 1 - ул. &quot;Уилям Гладстон&quot; № 38; тел. 02/ 9883077"/>
        <s v="Сграда 1 на ул. &quot;Иван Момчилов&quot; 44; &#10;тел: 02/9382918  "/>
        <s v="Сграда № 1 ул. &quot;Възрожденска&quot; № 19, 029382655"/>
        <s v="София 1799, ж.к. &quot;Младост&quot; - 2, ул. &quot;Слънчево зайче&quot; № 9,&#10;тел. 02/885 37 32 "/>
        <s v="София, кв. &quot;Симеоново&quot;, ул. &quot;Крайречна&quot; № 9"/>
        <s v="София, СО, ж.к. Младост 1, ул. &quot;Чудна градина&quot; № 8"/>
        <s v="София, ул. &quot;Шумен&quot; № 2; &#10;тел. 02/8310058; 0885 208 968; 0884 801 463"/>
        <s v="София, ул. Камчия 1"/>
        <s v="Студентски град, бл. 41А"/>
        <s v="ул. &quot;8-ми март&quot; № 28, тел. 02/938 13 45"/>
        <s v="ул. &quot;Kосово поле&quot; № 3 "/>
        <s v="ул. &quot;Александър Михов&quot; № 25; тел. 02/938 13 07"/>
        <s v="ул. &quot;Батуня&quot; № 75, тел. 02/945-30-19 - сграда 1 (централа)"/>
        <s v="ул. &quot;Бесарабия&quot; № 46, тел. 02/9450595"/>
        <s v="ул. &quot;Билянини извори&quot; № 6; тел. 02/8219185"/>
        <s v="ул. &quot;Братин дол&quot; № 7; 02/822-17-87"/>
        <s v="ул. &quot;Брегалница&quot; № 26, 02/9201266"/>
        <s v="ул. &quot;Ванче Михайлов&quot; № 3; тел. 02/824 88 62"/>
        <s v="ул. &quot;Велико Търново&quot; № 2, 02/944 25 16"/>
        <s v="ул. &quot;Войводово&quot; № 4 "/>
        <s v="ул. &quot;Врабча&quot; № 7, тел. 02/988 32 95"/>
        <s v="ул. &quot;Георги Марков&quot; № 2; 02/943-79-554"/>
        <s v="ул. &quot;Горски пътник&quot; № 23; тел. 02/866 22 71; 0884 801 535"/>
        <s v="ул. &quot;Дамян Груев&quot; № 44 "/>
        <s v="ул. &quot;Дебър&quot; № 22"/>
        <s v="ул. &quot;Добротич&quot; № 48 , тел: 02/822 9360"/>
        <s v="ул. &quot;Евлия Челеби&quot; № 1"/>
        <s v="ул. &quot;Емануил Васкидович&quot; № 40; тел. 0879806142"/>
        <s v="ул. &quot;Захари Круша&quot; № 20; тел. 02/952 20 28; 0885 950 122"/>
        <s v="ул. &quot;Златишки проход&quot; № 57, &#10;тел. 02/9581271, 02/8580019, 02/9586681"/>
        <s v="ул. &quot;Каймакчалан&quot; № 4, тел. 02/9446392"/>
        <s v="ул. &quot;Кап. Тодор Ночев&quot; № 30, тел. 02/427 40 45, 02/862 30 49"/>
        <s v="ул. &quot;Кривина&quot; бл.73; тел. 02/8739602"/>
        <s v="ул. &quot;Кукуш&quot; № 1; тел: 024267780"/>
        <s v="ул. &quot;Луи Пастьор &quot; № 3, тел.: 02 8266463"/>
        <s v="ул. &quot;Марин Д. Христов&quot; № 5, 02/832 10 22"/>
        <s v="ул. &quot;Метличина поляна&quot; №10"/>
        <s v="ул. &quot;Найден Георгиев&quot; № 12, ж.к. &quot;Хаджи Димитър&quot;"/>
        <s v="ул. &quot;Петко Д. Петков&quot; № 14"/>
        <s v="ул. &quot;Позитано&quot; № 125 "/>
        <s v="ул. &quot;Постоянство&quot; № 9, тел. 02/8720993"/>
        <s v="ул. &quot;Преспа&quot; № 3, тел. 02 987 61 25"/>
        <s v="ул. &quot;Проф. д-р Васил Златарски&quot; № 8, тел. 02/8740296"/>
        <s v="ул. &quot;Професор Вайганд&quot; № 6; тел: 0884147902"/>
        <s v="ул. &quot;Родопи&quot; № 8 "/>
        <s v="ул. &quot;Розова долина&quot; № 12А"/>
        <s v="ул. &quot;Света гора&quot; № 32, тел. 0884801534"/>
        <s v="ул. &quot;Суходолска&quot; № 2; тел. 02/8223673"/>
        <s v="ул. &quot;Тайга&quot; № 29; тел. 02/936 73 12"/>
        <s v="ул. &quot;Урвич&quot; № 12; тел. 02/9522329"/>
        <s v="ул. &quot;Уста Генчо&quot; № 4А  02/8217075"/>
        <s v="ул. &quot;Училищна&quot; № 10 "/>
        <s v="ул. &quot;Филип Тотю&quot; № 24, тел. 840 33 47"/>
        <s v="ул. &quot;Хан  Севар&quot;№1, тел. 0879122383"/>
        <s v="ул. &quot;Чумерна&quot; № 15, тел. 02/983 32 75"/>
        <s v="ул. &quot;Янко Забунов&quot;"/>
        <s v="ул. Хайдушка поляна № 4, 02/9526342"/>
        <s v="ул.&quot; Мадарски конник&quot; №7; тел. 02/9446481 (основна сграда)"/>
        <s v="ул.&quot;Ал.Момчев&quot; 2 тел: 0884801509"/>
        <s v="централа: гр. Нови Искър, ул. &quot;Искърско дефиле&quot; № 73, &#10;тел. 0884801731 "/>
        <s v="Централна сграда: ул. &quot;Цар Петър&quot; № 5, тел. 02/9526804"/>
        <m/>
      </sharedItems>
    </cacheField>
    <cacheField name="Адрес и телефон на сграда/филиал 2: " numFmtId="0">
      <sharedItems containsBlank="1" containsMixedTypes="1" containsNumber="1" containsInteger="1" minValue="0" maxValue="0" count="55">
        <n v="0"/>
        <s v="02/9442346"/>
        <s v="2.  гр. София, кв. Павлово, Сграда  на  бул. &quot;Александър Пушкин&quot; № 2; тел. 02/8562959"/>
        <s v="Ал.Момчев 2  тел 02 871 81 54"/>
        <s v="бл. 19, 02/9545010"/>
        <s v="бул. &quot;Свети Наум&quot; № 22, тел. 0884801534"/>
        <s v="бул. &quot;Цариградско шосе&quot; № 387;&#10;тел.: 02/9746514"/>
        <s v="Връбница 2, бл. 621, вх. А, тел.: 02/934 66 10"/>
        <s v="гр. Нови Искър, кв. &quot;Гниляне&quot;, ул. &quot;Просвета&quot; № 1; &#10;тел. 0879042874"/>
        <s v="гр. София, ж.к. &quot;Дружба-1&quot;, ул. &quot;5016&quot; № 3, 02/979 16 96"/>
        <s v="гр. София, кв. &quot;Драгалевци&quot;, ул. &quot;Кумините&quot; № 3"/>
        <s v="гр. София, ул. &quot;Сава Филаретов&quot; № 44, 02/9676822"/>
        <s v="град Банкя, ул. &quot;Восток 2&quot; № 4"/>
        <s v="ж.к. &quot;Дружба-1&quot;, до бл. 42"/>
        <s v="ж.к. &quot;Западен парк&quot;, ул. &quot;Суходолска&quot; № 2 (до 17 СОУ)"/>
        <s v="ж.к. &quot;Илинден&quot;, бл. 118, вх. Д; GSM 0877529962"/>
        <s v="ж.к. &quot;Лев Толстой&quot;, бл. 65, ет. 1"/>
        <s v="ж.к. &quot;Младост-3&quot;, ул. &quot;Свето Преображение&quot; № 2, &#10;тел. 0879815541"/>
        <s v="ж.к. &quot;Стрелбище&quot;, ул. &quot;Тулча&quot; № 16; тел. 02/9589291"/>
        <s v="ж.к&quot;Бели брези&quot;бл.4"/>
        <s v="кв. &quot;Бояна&quot;, ул. &quot;Боянско езеро&quot; № 3, тел. 0884 801 659"/>
        <s v="кв. &quot;Враждебна&quot;, ул. &quot;27-ма&quot; № 3; тел. 02/8406335 "/>
        <s v="кв. &quot;Левски-В&quot;, ул. &quot;Ген. Инзов&quot; № 44; тел. 02/946-7719"/>
        <s v="кв. &quot;Требич&quot;, ул. &quot;Леденика&quot; № 12; тел. 02 938 27 51"/>
        <s v="кв. &quot;Филиповци&quot;, ул. &quot;Поручик Хранов&quot; № 5 "/>
        <s v="Кухненски блок сграда на ул. &quot;Плана планина&quot; № 11"/>
        <s v="Младост 3, ул. &quot;Д-р Н. Николаев&quot; 11"/>
        <s v="с. Бистрица, ул. &quot;Тинтява&quot; № 6; тел. 0884801757"/>
        <s v="с. Лозен, ул. &quot;Светлина&quot; № 2, тел. 02/9926544"/>
        <s v="с. Подгумер, ул. &quot;Стара планина&quot;  № 1"/>
        <s v="сграда 2 - ул. &quot;Христо Белчев&quot; № 13; тел. 02/9884468"/>
        <s v="Сграда 2 на ул. &quot;Иван Момчилов&quot; 44; &#10;тел: 02/9382856; 02/9360464"/>
        <s v="Сграда № 2 ул. &quot;Иван Кулин&quot; № 9, 029360467"/>
        <s v="ул. &quot;8-ми март&quot; № 15, тел. 02/938 12 05"/>
        <s v="ул. &quot;Аспарух&quot; № 52, тел. 0879 944 326"/>
        <s v="ул. &quot;Бесарабия&quot; № 46, тел. 02/9455189"/>
        <s v="ул. &quot;Велико Търново&quot; № 4, 02/944 11 35"/>
        <s v="ул. &quot;Вършец&quot; № 11а, тел.02/945-30-44 - сграда 2 (филиал)"/>
        <s v="ул. &quot;Гюешево&quot; № 78, 02/4422261"/>
        <s v="ул. &quot;Дунав&quot; № 5А, тел. 02/988 41 61"/>
        <s v="ул. &quot;Захари Круша&quot; № 20; тел. 02/952 20 28; 0885 950 122"/>
        <s v="ул. &quot;Златишки проход&quot; № 57, &#10;тел. 02/9581271, 02/8580019, 02/9586681"/>
        <s v="ул. &quot;Иван Асен ІІ&quot; № 66"/>
        <s v="ул. &quot;Лидице&quot; № 16, бл. 261, ет. 1"/>
        <s v="ул. &quot;Мадарски конник&quot; № 7; тел. 02/9446481 (нова сграда)"/>
        <s v="ул. &quot;Маестро Кънев&quot; № 2"/>
        <s v="ул. &quot;Нишава&quot;, бл. 5Б"/>
        <s v="ул. &quot;Позитано&quot; № 125 "/>
        <s v="ул. &quot;Розова долина&quot; № 12А"/>
        <s v="ул. &quot;Урвич&quot; № 12 "/>
        <s v="ул. &quot;Хубча&quot; бл. 195"/>
        <s v="ул. &quot;Цар Симеон&quot; № 5, тел. 02/983 37 84"/>
        <s v="Филиал Тунджа: ул. &quot;Тунджа&quot; № 33, тел. 02/9523340"/>
        <s v="филиал: с. Доброславци, ул. &quot;Площад Мегдана&quot; № 1, &#10;тел. 0876391537, 0876342646"/>
        <m/>
      </sharedItems>
    </cacheField>
    <cacheField name="Адрес и телефон на сграда/филиал 3: " numFmtId="0">
      <sharedItems containsBlank="1" containsMixedTypes="1" containsNumber="1" containsInteger="1" minValue="0" maxValue="0" count="22">
        <n v="0"/>
        <s v="02/9431857"/>
        <s v="3.  Местност &quot;Гърдова глава&quot;, Сграда на ул. &quot;Симеон Радев&quot; № 73А; тел. 02/8550047, GSM 0888660363"/>
        <s v="град Банкя, ул. &quot;Царибродска&quot; № 5"/>
        <s v="ж.к. &quot;Стрелбище&quot;, бл. 91, вх. Б; тел. 0877-521-609"/>
        <s v="ж.к&quot;Бели брези&quot;бл.6"/>
        <s v="кв. &quot;Филиповци&quot;, ул. &quot;Поручик Хранов&quot; № 5 "/>
        <s v="Обеля 1, бл. 102, вх. А и Г, тел.: 02/934 66 10"/>
        <s v="с. Кътина, ул. &quot;Христо Ботев&quot; № 28; тел. 0879042873"/>
        <s v="ул. &quot;Андрей Николов&quot; бл. 254, вх. В, ет. 1"/>
        <s v="ул. &quot;Васил Друмев&quot; № 34; тел. 02/9444828 (филиал)"/>
        <s v="ул. &quot;Веслец&quot; № 31, тел. 02/943 14 13"/>
        <s v="ул. &quot;Горни порой&quot; № 2, тел. 02/938 13 69"/>
        <s v="ул. &quot;Дебър&quot; № 16"/>
        <s v="ул. &quot;Емине&quot; бл. 46; тел. 0877855682"/>
        <s v="ул. &quot;Златишки проход&quot; № 57, &#10;тел. 02/9581271, 02/8580019, 02/9586681"/>
        <s v="ул. &quot;Марин Дринов&quot; № 11, 02/944 20 40"/>
        <s v="ул. &quot;Нишава&quot;, бл. 6Б"/>
        <s v="ул. &quot;Победа&quot; № 3, тел. 0885 04 38 30"/>
        <s v="филиал &quot;Бял люляк&quot; 19: гр. София, &#10; ж.к. &quot;Надежда-4&quot;, ул. &quot;Бял люляк&quot; № 19; тел: 02/9382894"/>
        <s v="Филиал Христо Ботев: бул. &quot;Христо Ботев&quot; № 14, тел. 02/9542682"/>
        <m/>
      </sharedItems>
    </cacheField>
    <cacheField name="Адрес и телефон на сграда/филиал 4: " numFmtId="0">
      <sharedItems containsBlank="1" containsMixedTypes="1" containsNumber="1" containsInteger="1" minValue="0" maxValue="0" count="9">
        <n v="0"/>
        <s v="4.  гр. София, бул. &quot;Братя Бъкстон&quot;, бл. 45, Апартамент; тел. 02/8561009"/>
        <s v="ж.к. &quot;Стрелбище&quot;, бл. 91, вх. В; тел. 0877-522-600"/>
        <s v="ж.к&quot;Бели брези&quot;бл.23"/>
        <s v="кв. &quot;Филиповци&quot;, ул. &quot;Поручик Хранов&quot; № 5 "/>
        <s v="Обеля 2, бл. 204, вх. Б, тел.: 02/934 66 10"/>
        <s v="ул. &quot;Веслец&quot; № 38"/>
        <s v="ул. &quot;Златишки проход&quot; № 57, &#10;тел. 02/9581271, 02/8580019, 02/9586681"/>
        <m/>
      </sharedItems>
    </cacheField>
    <cacheField name="Адрес и телефон на сграда/филиал 5: " numFmtId="0">
      <sharedItems containsBlank="1" containsMixedTypes="1" containsNumber="1" containsInteger="1" minValue="0" maxValue="0" count="6">
        <n v="0"/>
        <s v="5.  гр. София, ул. &quot;Вихрен&quot;, бл. 39А, Апартамент"/>
        <s v="ж.к. &quot;Стрелбище&quot;, бл. 93, вх. А; тел. 0877-522-602"/>
        <s v="ж.к&quot;Бели брези&quot;бл.31"/>
        <s v="Обеля 2, бл. 207, вх. В, тел.: 02/934 66 10"/>
        <m/>
      </sharedItems>
    </cacheField>
    <cacheField name="Адрес и телефон на сграда/филиал 6: " numFmtId="0">
      <sharedItems containsBlank="1" count="4">
        <s v="6.  гр. София, ж.к. &quot;Бъкстон&quot;, бл. 25, Апартамент"/>
        <s v="ж.к. &quot;Стрелбище&quot;, бл. 95; тел. 0877-520-564"/>
        <s v="Обеля 2, бл. 214, вх. Г, тел.: 02/934 66 10"/>
        <m/>
      </sharedItems>
    </cacheField>
    <cacheField name="Адрес и телефон на сграда/филиал 7: " numFmtId="0">
      <sharedItems containsBlank="1" count="3">
        <s v="ж.к. &quot;Стрелбище&quot;, бл. 97; тел. 0877-520-562"/>
        <s v="Обеля 2, бл. 221, вх. Г, тел.: 02/934 66 10"/>
        <m/>
      </sharedItems>
    </cacheField>
    <cacheField name="– рампи: 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– подвижни платформи: " numFmtId="0">
      <sharedItems containsSemiMixedTypes="0" containsString="0" containsNumber="1" containsInteger="1" minValue="0" maxValue="2" count="3">
        <n v="0"/>
        <n v="1"/>
        <n v="2"/>
      </sharedItems>
    </cacheField>
    <cacheField name="– асансьори: 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– адаптирани санитарни възли: " numFmtId="0">
      <sharedItems containsSemiMixedTypes="0" containsString="0" containsNumber="1" containsInteger="1" minValue="0" maxValue="10" count="8">
        <n v="0"/>
        <n v="1"/>
        <n v="2"/>
        <n v="3"/>
        <n v="4"/>
        <n v="5"/>
        <n v="8"/>
        <n v="10"/>
      </sharedItems>
    </cacheField>
    <cacheField name="Яслена група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   Брой деца" numFmtId="0">
      <sharedItems containsString="0" containsBlank="1" containsNumber="1" containsInteger="1" minValue="0" maxValue="105" count="41">
        <n v="0"/>
        <n v="10"/>
        <n v="15"/>
        <n v="20"/>
        <n v="22"/>
        <n v="23"/>
        <n v="24"/>
        <n v="25"/>
        <n v="26"/>
        <n v="27"/>
        <n v="28"/>
        <n v="34"/>
        <n v="37"/>
        <n v="40"/>
        <n v="43"/>
        <n v="45"/>
        <n v="46"/>
        <n v="47"/>
        <n v="48"/>
        <n v="49"/>
        <n v="50"/>
        <n v="51"/>
        <n v="52"/>
        <n v="53"/>
        <n v="54"/>
        <n v="55"/>
        <n v="59"/>
        <n v="69"/>
        <n v="70"/>
        <n v="71"/>
        <n v="72"/>
        <n v="74"/>
        <n v="75"/>
        <n v="77"/>
        <n v="80"/>
        <n v="88"/>
        <n v="89"/>
        <n v="92"/>
        <n v="96"/>
        <n v="105"/>
        <m/>
      </sharedItems>
    </cacheField>
    <cacheField name="Първа група" numFmtId="0">
      <sharedItems containsSemiMixedTypes="0" containsString="0" containsNumber="1" containsInteger="1" minValue="0" maxValue="6" count="6">
        <n v="0"/>
        <n v="1"/>
        <n v="2"/>
        <n v="3"/>
        <n v="4"/>
        <n v="6"/>
      </sharedItems>
    </cacheField>
    <cacheField name="   Брой деца2" numFmtId="0">
      <sharedItems containsSemiMixedTypes="0" containsString="0" containsNumber="1" containsInteger="1" minValue="0" maxValue="167" count="54">
        <n v="0"/>
        <n v="21"/>
        <n v="22"/>
        <n v="24"/>
        <n v="25"/>
        <n v="26"/>
        <n v="27"/>
        <n v="28"/>
        <n v="29"/>
        <n v="30"/>
        <n v="31"/>
        <n v="32"/>
        <n v="33"/>
        <n v="34"/>
        <n v="35"/>
        <n v="37"/>
        <n v="38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3"/>
        <n v="64"/>
        <n v="69"/>
        <n v="70"/>
        <n v="73"/>
        <n v="74"/>
        <n v="75"/>
        <n v="76"/>
        <n v="77"/>
        <n v="78"/>
        <n v="79"/>
        <n v="80"/>
        <n v="81"/>
        <n v="86"/>
        <n v="87"/>
        <n v="95"/>
        <n v="96"/>
        <n v="102"/>
        <n v="105"/>
        <n v="107"/>
        <n v="167"/>
      </sharedItems>
    </cacheField>
    <cacheField name="Втора група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   Брой деца3" numFmtId="0">
      <sharedItems containsSemiMixedTypes="0" containsString="0" containsNumber="1" containsInteger="1" minValue="0" maxValue="120" count="55">
        <n v="0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3"/>
        <n v="46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7"/>
        <n v="74"/>
        <n v="76"/>
        <n v="78"/>
        <n v="80"/>
        <n v="81"/>
        <n v="82"/>
        <n v="84"/>
        <n v="86"/>
        <n v="87"/>
        <n v="88"/>
        <n v="89"/>
        <n v="90"/>
        <n v="91"/>
        <n v="93"/>
        <n v="94"/>
        <n v="103"/>
        <n v="115"/>
        <n v="120"/>
      </sharedItems>
    </cacheField>
    <cacheField name="Подготвителна група - 5 г." numFmtId="0">
      <sharedItems containsString="0" containsBlank="1" containsNumber="1" containsInteger="1" minValue="0" maxValue="4" count="6">
        <n v="0"/>
        <n v="1"/>
        <n v="2"/>
        <n v="3"/>
        <n v="4"/>
        <m/>
      </sharedItems>
    </cacheField>
    <cacheField name="   Брой деца4" numFmtId="0">
      <sharedItems containsSemiMixedTypes="0" containsString="0" containsNumber="1" containsInteger="1" minValue="0" maxValue="107" count="59">
        <n v="0"/>
        <n v="9"/>
        <n v="12"/>
        <n v="13"/>
        <n v="20"/>
        <n v="22"/>
        <n v="23"/>
        <n v="25"/>
        <n v="26"/>
        <n v="27"/>
        <n v="28"/>
        <n v="29"/>
        <n v="30"/>
        <n v="31"/>
        <n v="32"/>
        <n v="33"/>
        <n v="34"/>
        <n v="35"/>
        <n v="36"/>
        <n v="38"/>
        <n v="39"/>
        <n v="42"/>
        <n v="45"/>
        <n v="46"/>
        <n v="47"/>
        <n v="48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5"/>
        <n v="80"/>
        <n v="81"/>
        <n v="82"/>
        <n v="84"/>
        <n v="85"/>
        <n v="87"/>
        <n v="88"/>
        <n v="89"/>
        <n v="90"/>
        <n v="93"/>
        <n v="106"/>
        <n v="107"/>
      </sharedItems>
    </cacheField>
    <cacheField name="Подготвителна група - 6 г.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   Брой деца5" numFmtId="0">
      <sharedItems containsSemiMixedTypes="0" containsString="0" containsNumber="1" containsInteger="1" minValue="0" maxValue="110" count="63">
        <n v="0"/>
        <n v="11"/>
        <n v="16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0"/>
        <n v="41"/>
        <n v="42"/>
        <n v="43"/>
        <n v="44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8"/>
        <n v="70"/>
        <n v="71"/>
        <n v="72"/>
        <n v="75"/>
        <n v="76"/>
        <n v="77"/>
        <n v="78"/>
        <n v="79"/>
        <n v="81"/>
        <n v="82"/>
        <n v="83"/>
        <n v="84"/>
        <n v="88"/>
        <n v="99"/>
        <n v="110"/>
      </sharedItems>
    </cacheField>
    <cacheField name="Разновъзрастова" numFmtId="0">
      <sharedItems containsString="0" containsBlank="1" containsNumber="1" containsInteger="1" minValue="0" maxValue="2" count="4">
        <n v="0"/>
        <n v="1"/>
        <n v="2"/>
        <m/>
      </sharedItems>
    </cacheField>
    <cacheField name="   Брой деца6" numFmtId="0">
      <sharedItems containsString="0" containsBlank="1" containsNumber="1" containsInteger="1" minValue="0" maxValue="59" count="19">
        <n v="0"/>
        <n v="8"/>
        <n v="10"/>
        <n v="11"/>
        <n v="12"/>
        <n v="13"/>
        <n v="15"/>
        <n v="21"/>
        <n v="22"/>
        <n v="23"/>
        <n v="25"/>
        <n v="26"/>
        <n v="28"/>
        <n v="29"/>
        <n v="31"/>
        <n v="50"/>
        <n v="53"/>
        <n v="59"/>
        <m/>
      </sharedItems>
    </cacheField>
    <cacheField name="Общ брой групи: " numFmtId="0">
      <sharedItems containsSemiMixedTypes="0" containsString="0" containsNumber="1" containsInteger="1" minValue="2" maxValue="20" count="17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20"/>
      </sharedItems>
    </cacheField>
    <cacheField name="Общ брой деца:" numFmtId="0">
      <sharedItems containsSemiMixedTypes="0" containsString="0" containsNumber="1" containsInteger="1" minValue="39" maxValue="536" count="144">
        <n v="39"/>
        <n v="42"/>
        <n v="51"/>
        <n v="80"/>
        <n v="97"/>
        <n v="101"/>
        <n v="105"/>
        <n v="106"/>
        <n v="108"/>
        <n v="109"/>
        <n v="110"/>
        <n v="111"/>
        <n v="113"/>
        <n v="115"/>
        <n v="116"/>
        <n v="117"/>
        <n v="127"/>
        <n v="128"/>
        <n v="133"/>
        <n v="134"/>
        <n v="137"/>
        <n v="138"/>
        <n v="147"/>
        <n v="148"/>
        <n v="149"/>
        <n v="151"/>
        <n v="152"/>
        <n v="154"/>
        <n v="155"/>
        <n v="156"/>
        <n v="157"/>
        <n v="159"/>
        <n v="160"/>
        <n v="161"/>
        <n v="163"/>
        <n v="164"/>
        <n v="165"/>
        <n v="166"/>
        <n v="167"/>
        <n v="169"/>
        <n v="170"/>
        <n v="172"/>
        <n v="174"/>
        <n v="175"/>
        <n v="176"/>
        <n v="177"/>
        <n v="179"/>
        <n v="182"/>
        <n v="184"/>
        <n v="185"/>
        <n v="188"/>
        <n v="191"/>
        <n v="196"/>
        <n v="197"/>
        <n v="200"/>
        <n v="205"/>
        <n v="206"/>
        <n v="207"/>
        <n v="209"/>
        <n v="210"/>
        <n v="211"/>
        <n v="212"/>
        <n v="213"/>
        <n v="215"/>
        <n v="220"/>
        <n v="222"/>
        <n v="223"/>
        <n v="225"/>
        <n v="229"/>
        <n v="230"/>
        <n v="232"/>
        <n v="233"/>
        <n v="234"/>
        <n v="236"/>
        <n v="237"/>
        <n v="238"/>
        <n v="240"/>
        <n v="242"/>
        <n v="244"/>
        <n v="247"/>
        <n v="249"/>
        <n v="250"/>
        <n v="251"/>
        <n v="252"/>
        <n v="254"/>
        <n v="255"/>
        <n v="256"/>
        <n v="257"/>
        <n v="260"/>
        <n v="261"/>
        <n v="262"/>
        <n v="263"/>
        <n v="264"/>
        <n v="266"/>
        <n v="269"/>
        <n v="270"/>
        <n v="272"/>
        <n v="275"/>
        <n v="276"/>
        <n v="279"/>
        <n v="281"/>
        <n v="282"/>
        <n v="284"/>
        <n v="288"/>
        <n v="289"/>
        <n v="290"/>
        <n v="291"/>
        <n v="292"/>
        <n v="294"/>
        <n v="295"/>
        <n v="297"/>
        <n v="298"/>
        <n v="299"/>
        <n v="300"/>
        <n v="305"/>
        <n v="308"/>
        <n v="310"/>
        <n v="313"/>
        <n v="318"/>
        <n v="319"/>
        <n v="320"/>
        <n v="324"/>
        <n v="325"/>
        <n v="326"/>
        <n v="327"/>
        <n v="331"/>
        <n v="332"/>
        <n v="336"/>
        <n v="340"/>
        <n v="342"/>
        <n v="344"/>
        <n v="346"/>
        <n v="355"/>
        <n v="357"/>
        <n v="367"/>
        <n v="378"/>
        <n v="383"/>
        <n v="390"/>
        <n v="397"/>
        <n v="398"/>
        <n v="400"/>
        <n v="425"/>
        <n v="469"/>
        <n v="536"/>
      </sharedItems>
    </cacheField>
    <cacheField name="Държавна субсидия:" numFmtId="0">
      <sharedItems containsSemiMixedTypes="0" containsString="0" containsNumber="1" minValue="0" maxValue="1387308" count="191">
        <n v="0"/>
        <n v="304.33"/>
        <n v="471.863"/>
        <n v="518.466"/>
        <n v="715.678"/>
        <n v="123422"/>
        <n v="141993"/>
        <n v="167863"/>
        <n v="210285"/>
        <n v="244720"/>
        <n v="264963"/>
        <n v="267926"/>
        <n v="272139"/>
        <n v="279478"/>
        <n v="295585"/>
        <n v="309153"/>
        <n v="314855"/>
        <n v="314862"/>
        <n v="315870"/>
        <n v="317279"/>
        <n v="318158"/>
        <n v="322683"/>
        <n v="323791"/>
        <n v="325960"/>
        <n v="329413"/>
        <n v="331899"/>
        <n v="331994"/>
        <n v="341840"/>
        <n v="341937"/>
        <n v="343654"/>
        <n v="354489"/>
        <n v="357901"/>
        <n v="359072"/>
        <n v="360287"/>
        <n v="373334"/>
        <n v="383664"/>
        <n v="387758"/>
        <n v="390466"/>
        <n v="393501"/>
        <n v="396875"/>
        <n v="397523"/>
        <n v="400900"/>
        <n v="403149"/>
        <n v="410449"/>
        <n v="417110"/>
        <n v="417128"/>
        <n v="420669"/>
        <n v="424899"/>
        <n v="430778"/>
        <n v="430948"/>
        <n v="433380"/>
        <n v="437203"/>
        <n v="438290"/>
        <n v="446812"/>
        <n v="450390"/>
        <n v="455282"/>
        <n v="455962"/>
        <n v="458578"/>
        <n v="462379"/>
        <n v="463583"/>
        <n v="465363"/>
        <n v="466642"/>
        <n v="467017"/>
        <n v="468835"/>
        <n v="469739"/>
        <n v="471478"/>
        <n v="476711"/>
        <n v="486468"/>
        <n v="495665"/>
        <n v="495902"/>
        <n v="497691"/>
        <n v="503546"/>
        <n v="509302"/>
        <n v="512838"/>
        <n v="521662"/>
        <n v="527880"/>
        <n v="529033"/>
        <n v="533653"/>
        <n v="542659"/>
        <n v="543203"/>
        <n v="543527"/>
        <n v="546207"/>
        <n v="549202"/>
        <n v="551441"/>
        <n v="551929"/>
        <n v="552148"/>
        <n v="552310"/>
        <n v="558290"/>
        <n v="558638"/>
        <n v="565143"/>
        <n v="566633"/>
        <n v="567491"/>
        <n v="568231"/>
        <n v="577644"/>
        <n v="585037"/>
        <n v="585706"/>
        <n v="588777"/>
        <n v="591762"/>
        <n v="599843"/>
        <n v="600819"/>
        <n v="605908"/>
        <n v="608159"/>
        <n v="608198"/>
        <n v="608241"/>
        <n v="612357"/>
        <n v="613123"/>
        <n v="615267"/>
        <n v="615654"/>
        <n v="618856"/>
        <n v="620160"/>
        <n v="622286"/>
        <n v="625333"/>
        <n v="630380"/>
        <n v="631970"/>
        <n v="632433"/>
        <n v="639143"/>
        <n v="640246"/>
        <n v="641009"/>
        <n v="644578"/>
        <n v="651824"/>
        <n v="651842"/>
        <n v="652307"/>
        <n v="658345"/>
        <n v="664724"/>
        <n v="667153"/>
        <n v="674050"/>
        <n v="674271"/>
        <n v="679358"/>
        <n v="682628"/>
        <n v="683877"/>
        <n v="694756"/>
        <n v="696131"/>
        <n v="697364"/>
        <n v="698666"/>
        <n v="699703"/>
        <n v="702566"/>
        <n v="702578"/>
        <n v="703127"/>
        <n v="704700"/>
        <n v="707607"/>
        <n v="710830.33"/>
        <n v="711295"/>
        <n v="723057"/>
        <n v="723235"/>
        <n v="728699"/>
        <n v="732723"/>
        <n v="733798"/>
        <n v="737240"/>
        <n v="740413"/>
        <n v="743946"/>
        <n v="750333"/>
        <n v="753342"/>
        <n v="755640"/>
        <n v="762578"/>
        <n v="766778"/>
        <n v="767967"/>
        <n v="769848"/>
        <n v="788792"/>
        <n v="794340"/>
        <n v="794444"/>
        <n v="795291"/>
        <n v="808090"/>
        <n v="810684"/>
        <n v="815415"/>
        <n v="830680"/>
        <n v="834110"/>
        <n v="834996"/>
        <n v="836286"/>
        <n v="845986"/>
        <n v="852770"/>
        <n v="854150"/>
        <n v="869022"/>
        <n v="873430"/>
        <n v="880769"/>
        <n v="886049"/>
        <n v="886241"/>
        <n v="897081"/>
        <n v="897440"/>
        <n v="902087"/>
        <n v="912906"/>
        <n v="925241"/>
        <n v="927039"/>
        <n v="939738"/>
        <n v="953377"/>
        <n v="988406"/>
        <n v="991128"/>
        <n v="996068"/>
        <n v="1000000"/>
        <n v="1021286"/>
        <n v="1052163"/>
        <n v="1387308"/>
      </sharedItems>
    </cacheField>
    <cacheField name="Общинска субсидия:" numFmtId="0">
      <sharedItems containsSemiMixedTypes="0" containsString="0" containsNumber="1" minValue="76.573" maxValue="822633" count="194">
        <n v="76.573"/>
        <n v="128.474"/>
        <n v="129.417"/>
        <n v="204.14"/>
        <n v="27602"/>
        <n v="41391"/>
        <n v="43078"/>
        <n v="50800"/>
        <n v="57169"/>
        <n v="64427"/>
        <n v="71619"/>
        <n v="71992"/>
        <n v="75297"/>
        <n v="77316"/>
        <n v="77590"/>
        <n v="79623"/>
        <n v="79956"/>
        <n v="82096"/>
        <n v="82346"/>
        <n v="83802"/>
        <n v="84606"/>
        <n v="84725"/>
        <n v="85928"/>
        <n v="86040"/>
        <n v="86166"/>
        <n v="88193"/>
        <n v="89726"/>
        <n v="96506"/>
        <n v="99758"/>
        <n v="100246"/>
        <n v="100681"/>
        <n v="101973"/>
        <n v="102636"/>
        <n v="102715"/>
        <n v="107157"/>
        <n v="107448"/>
        <n v="108228"/>
        <n v="111445"/>
        <n v="111719"/>
        <n v="114131"/>
        <n v="114331"/>
        <n v="115087"/>
        <n v="117786"/>
        <n v="118677"/>
        <n v="118831"/>
        <n v="120097"/>
        <n v="120924"/>
        <n v="120969"/>
        <n v="121980"/>
        <n v="122660"/>
        <n v="125956"/>
        <n v="126021"/>
        <n v="126217"/>
        <n v="127201"/>
        <n v="127610"/>
        <n v="127679"/>
        <n v="128398"/>
        <n v="128546"/>
        <n v="128841"/>
        <n v="128960"/>
        <n v="130502"/>
        <n v="132742"/>
        <n v="132972"/>
        <n v="135356"/>
        <n v="136074"/>
        <n v="136300"/>
        <n v="137804"/>
        <n v="138376"/>
        <n v="138723"/>
        <n v="139317"/>
        <n v="140189"/>
        <n v="140249"/>
        <n v="143823"/>
        <n v="144795"/>
        <n v="145461"/>
        <n v="146240"/>
        <n v="146273"/>
        <n v="146612"/>
        <n v="147210"/>
        <n v="147554"/>
        <n v="148634"/>
        <n v="150549"/>
        <n v="151658"/>
        <n v="151963"/>
        <n v="152020"/>
        <n v="152662"/>
        <n v="154368"/>
        <n v="155492"/>
        <n v="157462"/>
        <n v="158391"/>
        <n v="160075"/>
        <n v="160623"/>
        <n v="160947"/>
        <n v="161846"/>
        <n v="164032"/>
        <n v="164893"/>
        <n v="166614"/>
        <n v="168332"/>
        <n v="168922"/>
        <n v="169360"/>
        <n v="170386"/>
        <n v="171075"/>
        <n v="173755"/>
        <n v="173896"/>
        <n v="174064"/>
        <n v="175799"/>
        <n v="177856"/>
        <n v="178305"/>
        <n v="178827"/>
        <n v="179960"/>
        <n v="181650"/>
        <n v="183074"/>
        <n v="183713"/>
        <n v="184044"/>
        <n v="184096"/>
        <n v="184249"/>
        <n v="184314"/>
        <n v="185137"/>
        <n v="186827"/>
        <n v="187803"/>
        <n v="188739"/>
        <n v="188769"/>
        <n v="189540"/>
        <n v="189951"/>
        <n v="193296"/>
        <n v="195647"/>
        <n v="196406"/>
        <n v="197498"/>
        <n v="198026"/>
        <n v="201453"/>
        <n v="203979"/>
        <n v="204027"/>
        <n v="204045"/>
        <n v="204434"/>
        <n v="204482"/>
        <n v="205841"/>
        <n v="206040"/>
        <n v="208000"/>
        <n v="208999"/>
        <n v="210108"/>
        <n v="211952"/>
        <n v="213984"/>
        <n v="215743"/>
        <n v="215775"/>
        <n v="217520"/>
        <n v="218527"/>
        <n v="219174"/>
        <n v="221039"/>
        <n v="221189"/>
        <n v="221523"/>
        <n v="222361"/>
        <n v="223892"/>
        <n v="225067"/>
        <n v="225920"/>
        <n v="227346"/>
        <n v="233633"/>
        <n v="233686"/>
        <n v="233992"/>
        <n v="234016"/>
        <n v="238527"/>
        <n v="239338"/>
        <n v="239814"/>
        <n v="239840"/>
        <n v="240189"/>
        <n v="240601"/>
        <n v="240768"/>
        <n v="241695"/>
        <n v="242000"/>
        <n v="242730"/>
        <n v="244523"/>
        <n v="248795"/>
        <n v="255525"/>
        <n v="256200"/>
        <n v="262283"/>
        <n v="264028"/>
        <n v="270040"/>
        <n v="271374"/>
        <n v="273157"/>
        <n v="277707"/>
        <n v="278382"/>
        <n v="286161"/>
        <n v="287101"/>
        <n v="296895"/>
        <n v="304929"/>
        <n v="318705"/>
        <n v="332422"/>
        <n v="353724"/>
        <n v="382089"/>
        <n v="427108"/>
        <n v="508093"/>
        <n v="566703"/>
        <n v="596374"/>
        <n v="661705"/>
        <n v="822633"/>
      </sharedItems>
    </cacheField>
    <cacheField name="Сключени договори за проекти и програми, международни фондове и програми:" numFmtId="0">
      <sharedItems containsString="0" containsBlank="1" containsNumber="1" minValue="0" maxValue="42210" count="42">
        <n v="0"/>
        <n v="135"/>
        <n v="555"/>
        <n v="1080"/>
        <n v="1296"/>
        <n v="1350"/>
        <n v="2000"/>
        <n v="2729"/>
        <n v="2871"/>
        <n v="3000"/>
        <n v="3190"/>
        <n v="3269"/>
        <n v="3900"/>
        <n v="4108"/>
        <n v="4320"/>
        <n v="4540"/>
        <n v="4839"/>
        <n v="4902"/>
        <n v="5000"/>
        <n v="5069"/>
        <n v="5145"/>
        <n v="6622.44"/>
        <n v="7857"/>
        <n v="8000"/>
        <n v="8172"/>
        <n v="8194.93"/>
        <n v="9984"/>
        <n v="12402"/>
        <n v="16863"/>
        <n v="21115"/>
        <n v="23508"/>
        <n v="24025"/>
        <n v="25719.16"/>
        <n v="27132"/>
        <n v="28507"/>
        <n v="34729"/>
        <n v="35430"/>
        <n v="36378.44"/>
        <n v="37420"/>
        <n v="41579.9"/>
        <n v="42210"/>
        <m/>
      </sharedItems>
    </cacheField>
    <cacheField name="Дарения:" numFmtId="0">
      <sharedItems containsString="0" containsBlank="1" containsNumber="1" minValue="0" maxValue="24476" count="58">
        <n v="0"/>
        <n v="50"/>
        <n v="100"/>
        <n v="200"/>
        <n v="205"/>
        <n v="250"/>
        <n v="294.9"/>
        <n v="304"/>
        <n v="450"/>
        <n v="454.95"/>
        <n v="534"/>
        <n v="594"/>
        <n v="600"/>
        <n v="641.08"/>
        <n v="676"/>
        <n v="800"/>
        <n v="887"/>
        <n v="903.42"/>
        <n v="1000"/>
        <n v="1046"/>
        <n v="1150"/>
        <n v="1256"/>
        <n v="1263"/>
        <n v="1520"/>
        <n v="1725"/>
        <n v="1779.98"/>
        <n v="2049.8"/>
        <n v="2051"/>
        <n v="2076"/>
        <n v="2149"/>
        <n v="2300"/>
        <n v="2500"/>
        <n v="2509"/>
        <n v="2910"/>
        <n v="2973"/>
        <n v="3322.97"/>
        <n v="3371.92"/>
        <n v="3783"/>
        <n v="4028"/>
        <n v="4280"/>
        <n v="4529"/>
        <n v="4900"/>
        <n v="4982"/>
        <n v="5219"/>
        <n v="5656"/>
        <n v="6190"/>
        <n v="7605"/>
        <n v="8380"/>
        <n v="8499.44"/>
        <n v="8786"/>
        <n v="9960.95"/>
        <n v="10324"/>
        <n v="11900"/>
        <n v="13534.48"/>
        <n v="13569"/>
        <n v="14049.21"/>
        <n v="24476"/>
        <m/>
      </sharedItems>
    </cacheField>
    <cacheField name="Собствени приходи, в т.ч. ДОД:" numFmtId="0">
      <sharedItems containsSemiMixedTypes="0" containsString="0" containsNumber="1" minValue="0" maxValue="66555" count="174">
        <n v="0"/>
        <n v="323"/>
        <n v="549"/>
        <n v="676.25"/>
        <n v="940"/>
        <n v="1158"/>
        <n v="1917"/>
        <n v="2112"/>
        <n v="2338"/>
        <n v="2567"/>
        <n v="2586.6"/>
        <n v="2760"/>
        <n v="2841"/>
        <n v="2874"/>
        <n v="2912"/>
        <n v="2987.29"/>
        <n v="3053"/>
        <n v="3180"/>
        <n v="3488"/>
        <n v="3876"/>
        <n v="3977"/>
        <n v="4065"/>
        <n v="4206"/>
        <n v="4288"/>
        <n v="4342.83"/>
        <n v="4826"/>
        <n v="4845.67"/>
        <n v="4858"/>
        <n v="4889"/>
        <n v="4921"/>
        <n v="4958"/>
        <n v="4982"/>
        <n v="5230"/>
        <n v="5268"/>
        <n v="5299"/>
        <n v="5381.93"/>
        <n v="5581.85"/>
        <n v="5814"/>
        <n v="5858"/>
        <n v="5998"/>
        <n v="6037"/>
        <n v="6213"/>
        <n v="6393"/>
        <n v="6393.9"/>
        <n v="6450"/>
        <n v="6568"/>
        <n v="6585"/>
        <n v="6587"/>
        <n v="6631"/>
        <n v="6782"/>
        <n v="6829"/>
        <n v="6885"/>
        <n v="6887"/>
        <n v="7035"/>
        <n v="7063"/>
        <n v="7128"/>
        <n v="7223"/>
        <n v="7269"/>
        <n v="7393"/>
        <n v="7494.98"/>
        <n v="7539"/>
        <n v="7554"/>
        <n v="7589"/>
        <n v="7605"/>
        <n v="7781"/>
        <n v="7844"/>
        <n v="7867"/>
        <n v="8028"/>
        <n v="8180"/>
        <n v="8206"/>
        <n v="8235"/>
        <n v="8314"/>
        <n v="8376"/>
        <n v="8447.23"/>
        <n v="8454"/>
        <n v="8471"/>
        <n v="8574.32"/>
        <n v="8577"/>
        <n v="8700"/>
        <n v="8744"/>
        <n v="8755"/>
        <n v="8795"/>
        <n v="8942"/>
        <n v="8986"/>
        <n v="9119"/>
        <n v="9200"/>
        <n v="9229"/>
        <n v="9419.4"/>
        <n v="9465"/>
        <n v="9473"/>
        <n v="9656"/>
        <n v="9769"/>
        <n v="9893"/>
        <n v="9906"/>
        <n v="10026"/>
        <n v="10049"/>
        <n v="10072"/>
        <n v="10237"/>
        <n v="10275"/>
        <n v="10293"/>
        <n v="10487"/>
        <n v="10705"/>
        <n v="11000"/>
        <n v="11096"/>
        <n v="11185"/>
        <n v="11215"/>
        <n v="11245"/>
        <n v="11273"/>
        <n v="11339.91"/>
        <n v="11364"/>
        <n v="11493.2"/>
        <n v="11614"/>
        <n v="11721.08"/>
        <n v="11933"/>
        <n v="12188"/>
        <n v="12325"/>
        <n v="12407"/>
        <n v="12476.39"/>
        <n v="12508"/>
        <n v="12863"/>
        <n v="12908"/>
        <n v="13053"/>
        <n v="13099.13"/>
        <n v="13286"/>
        <n v="13390"/>
        <n v="13408"/>
        <n v="13558.3"/>
        <n v="13560"/>
        <n v="13582"/>
        <n v="13718"/>
        <n v="13781"/>
        <n v="13787"/>
        <n v="13884"/>
        <n v="13939"/>
        <n v="14182"/>
        <n v="14327"/>
        <n v="14666"/>
        <n v="14755"/>
        <n v="14952"/>
        <n v="15066"/>
        <n v="15142.61"/>
        <n v="15216"/>
        <n v="15695"/>
        <n v="15720"/>
        <n v="15813"/>
        <n v="15887.54"/>
        <n v="16677"/>
        <n v="17049"/>
        <n v="17073"/>
        <n v="17636"/>
        <n v="17931"/>
        <n v="18728"/>
        <n v="18806"/>
        <n v="19006"/>
        <n v="20578"/>
        <n v="20791"/>
        <n v="20894"/>
        <n v="21123"/>
        <n v="21244"/>
        <n v="21331"/>
        <n v="21985"/>
        <n v="22499"/>
        <n v="22643"/>
        <n v="22913"/>
        <n v="23784"/>
        <n v="23936"/>
        <n v="24218"/>
        <n v="24327"/>
        <n v="26157"/>
        <n v="26977"/>
        <n v="27472"/>
        <n v="28316.05"/>
        <n v="35435"/>
        <n v="66555"/>
      </sharedItems>
    </cacheField>
    <cacheField name="Други приходи за 2019 г.:" numFmtId="0">
      <sharedItems containsSemiMixedTypes="0" containsString="0" containsNumber="1" minValue="0" maxValue="10105" count="32">
        <n v="0"/>
        <n v="32"/>
        <n v="39"/>
        <n v="45"/>
        <n v="46"/>
        <n v="62"/>
        <n v="68"/>
        <n v="71"/>
        <n v="80"/>
        <n v="90"/>
        <n v="117.5"/>
        <n v="130"/>
        <n v="134"/>
        <n v="151"/>
        <n v="174"/>
        <n v="260"/>
        <n v="273"/>
        <n v="305"/>
        <n v="380"/>
        <n v="423"/>
        <n v="586"/>
        <n v="875"/>
        <n v="1159"/>
        <n v="1290"/>
        <n v="1725"/>
        <n v="1849"/>
        <n v="2656"/>
        <n v="2739"/>
        <n v="3569"/>
        <n v="4140"/>
        <n v="7710.6"/>
        <n v="10105"/>
      </sharedItems>
    </cacheField>
    <cacheField name="Регионални (РП):" numFmtId="0">
      <sharedItems containsString="0" containsBlank="1" containsNumber="1" containsInteger="1" minValue="0" maxValue="3" count="5">
        <n v="0"/>
        <n v="1"/>
        <n v="2"/>
        <n v="3"/>
        <m/>
      </sharedItems>
    </cacheField>
    <cacheField name="РП:" numFmtId="0">
      <sharedItems containsBlank="1" count="37">
        <s v=",,Плуваме&quot; - по Програма на СО за р-е на ФВС "/>
        <s v="„Здравословно хранене и спорт - предпоставка за добро здраве“"/>
        <s v="&quot;Зелена София&quot;"/>
        <s v="&quot;Играем с баба и дядо&quot;"/>
        <s v="&quot;Прегърни ме с любов&quot;"/>
        <s v="&quot;Утринна приказка&quot;"/>
        <s v="&quot;Учим и знаем правилата&quot; - изграждане на площада за БДП и приложно колоездене&quot;"/>
        <s v="&quot;Хей, конче - приятел ми стани&quot; - с дирекция ПИСТ"/>
        <s v="1 Наука и образование за интелектуален разтеж"/>
        <s v="1. &quot;Зелена София&quot;; 2. &quot;Играем и спортуваме за здраве&quot;"/>
        <s v="1. &quot;Моята зелена детска градина&quot;; 2. Проект за спортни дейности по ПМС № 129"/>
        <s v="1. &quot;Успяваме заедно&quot;; 2. Приятели на колела&quot;; 3. &quot;С мъдрост толеантност и игри, заедно ще бъдем &#10;по-добри&quot;;"/>
        <s v="1. БДП; 2. ФВ "/>
        <s v="1. Ние спортуваме - по Програма за развите на физическото възпитание и спорта, І- ва стратегическа цел"/>
        <s v="1. НП &quot; Заедно за всяко дете &quot;"/>
        <s v="1. Обучение по проект &quot;Квалификация на пед. специалисти&quot;; 2. Изграждане на площадка по БДП"/>
        <s v="1.,,Квалификация на педагогическите специалисти&quot;"/>
        <s v="1.&quot; С обич за София&quot; СО, дирекция &quot;ПИСТ&quot;; 2. Кът за игри &quot;ПУДООС&quot;"/>
        <s v="129 ПМС"/>
        <s v="2019 г. &quot;Правилата знам, мога да се движа безопасно&quot; - изграждане на интерактивен кабинет  по БДв. "/>
        <s v="50 години с любов към децата"/>
        <s v="Активно приобщаване в системата на предучилищното образование"/>
        <s v="В Брезичка обичаме да спортуваме"/>
        <s v="Изграждане на интерактивна учебна площадка по безопасно движение и приложно колоездене"/>
        <s v="Изграждане на учебна площадка по БДП&quot;Аз се движа безопосно&quot;"/>
        <s v="Качествено образование за равен старт"/>
        <s v="Надеждата: аз, ти, ние - с песни и танци толерантни и обединени"/>
        <s v="няма"/>
        <s v="ПИСТ - СО Проект „Движение и здраве“ в подкрепа на инициативата  „София - Европейска столица на спорта“"/>
        <s v="ПМС129"/>
        <s v="Програма за изпълнение на Общинска стратегияза развитие на ФВС - проект на тема &quot;Пътешествие към красивото&quot;"/>
        <s v="Програма за развитие на физическото възпитание и спорта"/>
        <s v="ПУДООС"/>
        <s v="СО, дирекция &quot;ПИСТ&quot;"/>
        <s v="София - европейска столица на спорта"/>
        <s v="Футболни таланти с ДФК &quot;Лъвчета&quot;"/>
        <m/>
      </sharedItems>
    </cacheField>
    <cacheField name="Национални (НП):" numFmtId="0">
      <sharedItems containsString="0" containsBlank="1" containsNumber="1" containsInteger="1" minValue="0" maxValue="7" count="8">
        <n v="0"/>
        <n v="1"/>
        <n v="2"/>
        <n v="3"/>
        <n v="4"/>
        <n v="5"/>
        <n v="7"/>
        <m/>
      </sharedItems>
    </cacheField>
    <cacheField name="НП" numFmtId="0">
      <sharedItems containsBlank="1" containsMixedTypes="1" containsNumber="1" containsInteger="1" minValue="0" maxValue="0" count="61" longText="1">
        <n v="0"/>
        <s v=" „Активно приобщаване в системата на предучилищното образование”"/>
        <s v="&quot;Активно приобщаване в системата на предучилищното образование&quot;"/>
        <s v="&quot;Активно приобщаване в системата на предучилищното образование&quot; Дейност 1"/>
        <s v="&quot;Активно приобщаване в системата на предучилищното оразование&quot;"/>
        <s v="&quot;Активно приобщаване в систематан на предучилищното образование&quot;"/>
        <s v="&quot;Квалификация за професионалното развитие на педагогическите специалисти&quot;"/>
        <s v="&quot;Климътът и Аз&quot; - проект НДЕФ"/>
        <s v="&quot;Обичам природата и аз участвам&quot; на МОСВ И ПУДОС "/>
        <s v="&quot;Оптимизация на училищната мрежа&quot;"/>
        <s v="&quot;Успяваме заедно&quot;"/>
        <s v="&quot;Ще успеем заедно&quot;"/>
        <s v="1. &quot;Активно приобщаване в системата на предучилищното образование&quot; BG05M20P001-3.005-0004                                                                                                   2. &quot;Квалификация за професионално развитие на педагогически специалисти&quot; BG05M20P001-2.010-0001 кампания септември 2019 г. - август 2020 г. "/>
        <s v="1. &quot;Заедно можем повече&quot;; 2. &quot;Квалификация на педагогическите специалист&quot;"/>
        <s v="1. &quot;Училищен плод&quot;; 2. &quot;Училищно мляко&quot;; 3. &quot;Активно приобщаване в системата на предучилищното образование&quot;"/>
        <s v="1. BG05M20P001-2.010-0001 &quot;Квалификация за професионално развитие на педагогическите специалисти&quot;; 2. „ЗА ЧИСТА ОКОЛНА СРЕДА “ на тема „Обичам природата – и аз участвам“."/>
        <s v="1. BG05M2OP001-3.005-0004 &quot;Активно приобщаване в системата на предучилищното образование&quot; по ОП &quot;Наука и образование за интелигентен растеж&quot; 2014-2020 г.; 2. Национална програма &quot;Информационни и комуникационни технологии /ИКТ/ в системата на предучилищното образование&quot;."/>
        <s v="1. Активно приобщаване в системата на предучилищното образование Дейност 1; 2. Активно приобщаване в системата на предучилищното образование Дейност 2; 3. Квалификация за професионално развитие на педагогическите специалисти; Информационни и комуникационни технологии в системата на предучилищното и училищното образование; Оптимизиране на вътрешната структура на персонала"/>
        <s v="1. ИКТ в Образованието; 2. ПМС 129"/>
        <s v="1. Национална програма „Оптимизация на вътрешната структура на персонала в институциите от системата на предучилищното и училищното образование&quot;; 2.  Национална програма &quot;Информационни и комуникационни технологии (ИКТ) в системата на предучилищното и училищното образование&quot;"/>
        <s v="1. НП &quot;Диференцирано заплащане&quot;;  2. НП &quot;Успяваме заедно&quot;; "/>
        <s v="1. НП &quot;Заедно за всяко дете&quot;; 2. ПМС 129: Ние спортуваме (по Програма за развите на физическото възпитание и спорта, І- ва стратегическа цел)"/>
        <s v="1. НП &quot;Развитие на системата на предучилищното образование&quot; 2. НП &quot;Развитие на системата на предучилищното образование&quot; 3. НП &quot;Развитие на системата на предучилищното образование&quot; 4. НК &quot;Чиста околна среда&quot; - Проект &quot;Вкусната градинка - създаване на зона за учене чрез преживяване сред природата&quot; 5. НП &quot;Информационни и комуникационни технологии в системата на предучилищното и училищното образование&quot;"/>
        <s v="1. ПМС 129 ПИСТ; 2. &quot;Фамилиада за деца и родител&quot; финансиран от ЦОИДУЕМ"/>
        <s v="1. ПМС №129 2. BG05M2OP001-2.010-0001"/>
        <s v="1. училищен плод  2. училищно мляко"/>
        <s v="1.Без свободен час; 2. Оптимизиране на вътршената структура на персонала"/>
        <s v="1.Национална програма успяваме заедно 2.Национална програма &quot;Информационни и комуникационни технологии&quot; 3. Национална програма &quot;Квалификация за професионалното развитие на педагогическите специалисти&quot; 4.Проект &quot;Приобщаващо образование&quot;"/>
        <s v="1.ПП „Утринна приказка“ – проект на МОН; 2.Национална програма МОН “Успяваме заедно“; 3. Проект BG05M2OP001-3.005-0004 „Активно приобщаване в системата на предучилищното образование“, финансиран от Оперативна програма „Наука и образование за интелигентен растеж“, съфинансирана от Европейския съюз чрез Европейските структурни и инвестиционни фондове, реализиран от Министерството на образованието и науката; 4. „Училищно мляко“; 5. „Училищен плод“;                          6. Подпомагане физическото възпитание и спорта за 2019г- ПМС 1297.“ ; 7.Моята зелена детска градина“"/>
        <s v="1.Успяваме заедно; 2. Активно приобщаване в системата на предучилищното образование"/>
        <s v="2. ,,Активно приобщаване в системата на предучилищното образование&quot;"/>
        <s v="2. ПМС 129 Ние спортуваме- по Програма за развите на физическото възпитание и спорта, І- ва стратегическа цел"/>
        <s v="2. ПМС 129; Ние спортуваме - по Програма за развите на физическото възпитание и спорта, І- ва стратегическа цел"/>
        <s v="2.Квалификация на педагогическите специалисти "/>
        <s v="BG05:2OP001-3.005-0004 &quot;Активно приобщаване в системата на предучилищното образование&quot;"/>
        <s v="BG05M20P001-2.010-0001 &quot;Квалификация за професионално развитие на педагогическите специалисти&quot;"/>
        <s v="BG05M20P001-3.005-0004 &quot;Активно приобщаване в системата на предучилищното образование&quot;"/>
        <s v="BG05M20P001-3.005-0004&quot;Активно приобщаване в системата на предучилиощното образование&quot;"/>
        <s v="BG05M2OP001 - 3.005-0004 &quot;Активно приобщаване в системата на предучилищното образование&quot;"/>
        <s v="BG05M2OP001-3.005-0004 „Активно приобщаване в системата на предучилищното образование”."/>
        <s v="BG05M2OP001-3.05-0004 &quot;Активно приобщаване в системата на предучилищното образование&quot;"/>
        <s v="BG05M2ОP001-3.005-0004 „Активно приобщаване в системата на предучилищното образование“"/>
        <s v="Активно приобщавате в системата на предучилищното обрадование"/>
        <s v="Библиотека в детската градина"/>
        <s v="Дейност 2  Проект BG05М20П001 &quot;Активно приобщаване в системата на предучилищното образование&quot;"/>
        <s v="Децата се учат как да защитават животните"/>
        <s v="Еко проект Национална кампания &quot;За чиста  околна среда - 2019 г.&quot;, &quot;Обичам прородата и аз участвам&quot;"/>
        <s v="Квалификация 2019 г."/>
        <s v="Квалификация и професионално развитие на педагогическите специалисти"/>
        <s v="Национална кампания &quot;За чиста околна среда - 2019 г.&quot;; &quot;Обичам природата и аз участвам&quot;"/>
        <s v="ОП &quot;Наука и образование за интелигентен растеж&quot; - Проект BG05M2OP001-2.010-0001"/>
        <s v="ОП НОИР"/>
        <s v="Педагогическа практика &quot;Утринна приказка&quot;"/>
        <s v="ПМС 129"/>
        <s v="ПМС № 129"/>
        <s v="ПМС № 129; ДФ „Земеделие"/>
        <s v="Проект BG05M20P001-3.005-0004 &quot;Активно приобщаване в системата на предучилищното образование&quot;, Дейност 1"/>
        <s v="Проект по национална програма &quot;Успяваме заедно&quot;"/>
        <s v="ПроектBG05M20P001-.005-0004&quot;Активно приобщаване в системата на предучилищното образование&quot;"/>
        <s v="Фонд &quot;Земеделие&quot; - Училищен плод и Училищно мляко"/>
        <m/>
      </sharedItems>
    </cacheField>
    <cacheField name="Международни (МП):" numFmtId="0">
      <sharedItems containsString="0" containsBlank="1" containsNumber="1" containsInteger="1" minValue="0" maxValue="3" count="5">
        <n v="0"/>
        <n v="1"/>
        <n v="2"/>
        <n v="3"/>
        <m/>
      </sharedItems>
    </cacheField>
    <cacheField name="МП" numFmtId="0">
      <sharedItems containsBlank="1" count="23" longText="1">
        <s v="&quot;Активно приобщаване в системата на предучилищното образование&quot;"/>
        <s v="&quot;Еразъм+&quot;сред прирадата Аз знам, аз мога, аз съм здрав"/>
        <s v="&quot;Климатът и аз&quot;"/>
        <s v="&quot;Магията на сенките&quot; номер 2019-1-BG01-KA101-061607, по програма &quot;Еразъм+&quot;, ключова дейност 1"/>
        <s v="„Подобряване на местната ситуация за отглеждане на деца с увреждания / СОП чрез квалифициране на персонала в ДГ №172“"/>
        <s v="1. &quot;Активно приобщаване в системата на предучилищното образование&quot;"/>
        <s v="1. Erasmus+  Грамотността в ДГ- EU-SELF - Social and Emotional Skills Development in Early Childhood Education and Care in Europe 2019-1-BG01-KA201-062593.; 2. Erasmus+ Ранното детско  развитие READ - Ready to Read 2019 - HU01- KA201-B766AE41; 3. Erasmus+ „Храна и хранене в ранната детска възраст“FINE! - Food and Nutrition In ECEC."/>
        <s v="1. Продължаващ он мин. година : „From North to South for Better Understanding Europe&quot;„Стратегически партньорства“, сектор „Училищно образование“ Проекти за „Партньорства за училищен обмен“ / Еразъм+ , 2. Нов - Заснеми и сподели -програма на ЕС - Еразъм +"/>
        <s v="3. Еразъм+, Големия прозорец към света КД 1 за повишаване на капацитета на педагогическия персонал"/>
        <s v="3.Еразъм  №2019-1-BG01-UD 101-061556"/>
        <s v="ERASMUS+: &quot;WELCOME&quot;"/>
        <s v="MOV-ap580339-EPP-1-2916-1-BG-EPPKA3-IPI-SOK-IN"/>
        <s v="Активно приобщаване в системата на предучилищното образование - Дейност 3-скрининг на деца от 3-3,6г."/>
        <s v="Активно приобщаване в системата напредучилищното образование"/>
        <s v="Еразъм+ - Вибрация на музиката, Еразъм+ - MOV UP - Просоциални ценности"/>
        <s v="ЕРАЗЪМ+ К1"/>
        <s v="М20З001-3.005-0004"/>
        <s v="По Еразъм+ : 1. № 2018-1-PL01-KA229-050669_3; 2. №2018-1-PT01-KA229-047538_4"/>
        <s v="Проект BG05M2OP001-3.005-0004 &quot;Активно приобщаване в системата на предуч. образование&quot;"/>
        <s v="Проект BG05M2OP001-3.005-0004 &quot;Активно приобщаване в системата на предучилищното образование&quot;"/>
        <s v="Реформа на образованието в ранна детска възраств Източна Европа REFEE"/>
        <s v="ЦРЧР - Еразъм + &quot;Дъга на различията&quot;"/>
        <m/>
      </sharedItems>
    </cacheField>
    <cacheField name="Педагогически персонал: " numFmtId="0">
      <sharedItems containsString="0" containsBlank="1" containsNumber="1" minValue="4" maxValue="40.5" count="61">
        <n v="4"/>
        <n v="5"/>
        <n v="7"/>
        <n v="7.5"/>
        <n v="8.5"/>
        <n v="9"/>
        <n v="9.33"/>
        <n v="9.5"/>
        <n v="10"/>
        <n v="10.25"/>
        <n v="10.5"/>
        <n v="11"/>
        <n v="11.5"/>
        <n v="12"/>
        <n v="12.5"/>
        <n v="13"/>
        <n v="13.5"/>
        <n v="14"/>
        <n v="14.5"/>
        <n v="15"/>
        <n v="15.5"/>
        <n v="16"/>
        <n v="16.5"/>
        <n v="17"/>
        <n v="17.5"/>
        <n v="17.75"/>
        <n v="18"/>
        <n v="18.5"/>
        <n v="18.67"/>
        <n v="19"/>
        <n v="19.5"/>
        <n v="20"/>
        <n v="20.5"/>
        <n v="20.75"/>
        <n v="21"/>
        <n v="21.5"/>
        <n v="22"/>
        <n v="22.3"/>
        <n v="22.5"/>
        <n v="23"/>
        <n v="23.5"/>
        <n v="24"/>
        <n v="24.5"/>
        <n v="24.75"/>
        <n v="25"/>
        <n v="25.25"/>
        <n v="25.5"/>
        <n v="25.75"/>
        <n v="26"/>
        <n v="26.5"/>
        <n v="26.75"/>
        <n v="27.5"/>
        <n v="28"/>
        <n v="28.75"/>
        <n v="29"/>
        <n v="31"/>
        <n v="31.75"/>
        <n v="32"/>
        <n v="37"/>
        <n v="40.5"/>
        <m/>
      </sharedItems>
    </cacheField>
    <cacheField name="Непедагогически персонал: " numFmtId="0">
      <sharedItems containsString="0" containsBlank="1" containsNumber="1" minValue="5.375" maxValue="42.5" count="72">
        <n v="5.375"/>
        <n v="5.875"/>
        <n v="6.5"/>
        <n v="7"/>
        <n v="8"/>
        <n v="8.5"/>
        <n v="9"/>
        <n v="9.25"/>
        <n v="9.5"/>
        <n v="10"/>
        <n v="10.5"/>
        <n v="11"/>
        <n v="11.125"/>
        <n v="11.25"/>
        <n v="11.5"/>
        <n v="11.75"/>
        <n v="12"/>
        <n v="12.125"/>
        <n v="12.25"/>
        <n v="12.5"/>
        <n v="13"/>
        <n v="13.03"/>
        <n v="13.5"/>
        <n v="13.625"/>
        <n v="14"/>
        <n v="14.5"/>
        <n v="14.75"/>
        <n v="15"/>
        <n v="15.5"/>
        <n v="15.75"/>
        <n v="16"/>
        <n v="16.5"/>
        <n v="17"/>
        <n v="17.5"/>
        <n v="18.125"/>
        <n v="18.25"/>
        <n v="18.5"/>
        <n v="18.56"/>
        <n v="18.625"/>
        <n v="18.63"/>
        <n v="19"/>
        <n v="19.25"/>
        <n v="19.5"/>
        <n v="19.75"/>
        <n v="20"/>
        <n v="20.06"/>
        <n v="20.25"/>
        <n v="20.5"/>
        <n v="21"/>
        <n v="21.5"/>
        <n v="22"/>
        <n v="22.25"/>
        <n v="22.5"/>
        <n v="23"/>
        <n v="23.25"/>
        <n v="23.5"/>
        <n v="24"/>
        <n v="25"/>
        <n v="26"/>
        <n v="26.25"/>
        <n v="27.25"/>
        <n v="28"/>
        <n v="28.25"/>
        <n v="28.5"/>
        <n v="29"/>
        <n v="29.5"/>
        <n v="30"/>
        <n v="30.5"/>
        <n v="31"/>
        <n v="35"/>
        <n v="42.5"/>
        <m/>
      </sharedItems>
    </cacheField>
    <cacheField name="Общ брой (щатни бройки):" numFmtId="0">
      <sharedItems containsSemiMixedTypes="0" containsString="0" containsNumber="1" minValue="0" maxValue="83" count="102">
        <n v="0"/>
        <n v="9.375"/>
        <n v="9.875"/>
        <n v="12"/>
        <n v="13.5"/>
        <n v="15.5"/>
        <n v="16.5"/>
        <n v="17"/>
        <n v="17.5"/>
        <n v="18"/>
        <n v="18.5"/>
        <n v="18.75"/>
        <n v="18.83"/>
        <n v="19"/>
        <n v="19.5"/>
        <n v="20"/>
        <n v="21"/>
        <n v="22"/>
        <n v="22.5"/>
        <n v="22.625"/>
        <n v="22.75"/>
        <n v="23"/>
        <n v="23.25"/>
        <n v="23.5"/>
        <n v="24"/>
        <n v="24.5"/>
        <n v="24.53"/>
        <n v="25"/>
        <n v="25.5"/>
        <n v="25.625"/>
        <n v="25.75"/>
        <n v="26"/>
        <n v="26.5"/>
        <n v="27"/>
        <n v="27.5"/>
        <n v="27.625"/>
        <n v="28"/>
        <n v="28.5"/>
        <n v="29.5"/>
        <n v="30"/>
        <n v="30.5"/>
        <n v="31"/>
        <n v="31.5"/>
        <n v="32"/>
        <n v="32.5"/>
        <n v="32.75"/>
        <n v="33"/>
        <n v="33.06"/>
        <n v="33.125"/>
        <n v="34"/>
        <n v="34.5"/>
        <n v="34.625"/>
        <n v="34.63"/>
        <n v="35"/>
        <n v="35.25"/>
        <n v="35.5"/>
        <n v="36"/>
        <n v="36.17"/>
        <n v="36.25"/>
        <n v="36.5"/>
        <n v="37"/>
        <n v="37.5"/>
        <n v="38"/>
        <n v="38.25"/>
        <n v="39"/>
        <n v="39.5"/>
        <n v="39.56"/>
        <n v="40"/>
        <n v="40.5"/>
        <n v="41"/>
        <n v="41.25"/>
        <n v="41.75"/>
        <n v="42"/>
        <n v="42.5"/>
        <n v="42.8"/>
        <n v="43"/>
        <n v="43.5"/>
        <n v="43.75"/>
        <n v="44"/>
        <n v="44.5"/>
        <n v="45"/>
        <n v="45.5"/>
        <n v="46"/>
        <n v="46.5"/>
        <n v="47.25"/>
        <n v="47.5"/>
        <n v="48"/>
        <n v="50"/>
        <n v="50.5"/>
        <n v="50.75"/>
        <n v="51"/>
        <n v="52"/>
        <n v="53.75"/>
        <n v="54"/>
        <n v="55"/>
        <n v="55.75"/>
        <n v="56"/>
        <n v="58"/>
        <n v="62.25"/>
        <n v="67"/>
        <n v="68"/>
        <n v="83"/>
      </sharedItems>
    </cacheField>
    <cacheField name="Участие на персонала в квалификационна форма 1" numFmtId="0">
      <sharedItems containsBlank="1" count="157" longText="1">
        <s v="„Агресивни прояви в детските градини“"/>
        <s v="„Безопасност на движение по пътищата. Методика на обучението“."/>
        <s v="&quot;Емпатия в приобщаващото образование &quot;"/>
        <s v="&quot;Игри и упражнения за снемане на напрежението&quot;"/>
        <s v="&quot;Игри и упражнения за снемане напрежението у детето в обучителния процес&quot;"/>
        <s v="&quot;Игрови техники в организацията и реализирането на образователните компоненти възпитание и социализация&quot;"/>
        <s v="&quot;Иновативни педагогически стратегии за формиране на компетентности в ПВ&quot;"/>
        <s v="&quot;Квалификация на педагогическите специалисти&quot;"/>
        <s v="&quot;Лидерство и мениджмънт в образованието&quot;"/>
        <s v="&quot;Методи и подходи при работа с хиперактивни деца и деца с нарушена концентрация на внимание&quot;"/>
        <s v="&quot;Методика за обучение на децата и учениците по безопасност на движението&quot; "/>
        <s v="&quot;Мотивация на работното място и развитие на екипната работа&quot;"/>
        <s v="&quot;Обучение по Дигитални умения  и ИКТ&quot;"/>
        <s v="&quot;Обучение по дигитални умения и ИКТ"/>
        <s v="&quot;Повишаване на административния капацитет при работа с деца&quot;"/>
        <s v="„Подготовка  и обучение на децата и персонала в детската градина за безопасно поведение при бедствия“"/>
        <s v="&quot;Практически модели за справяне с проблемното поведение на деца&quot;"/>
        <s v="&quot;Първа долекарска помощ при деца&quot;"/>
        <s v="&quot;Първа долекарска помощ&quot;"/>
        <s v="&quot;Развиващи игри за деца от детските градини&quot;"/>
        <s v="&quot;Реалност, иновативност, подхоси и перспективи&quot;"/>
        <s v="&quot;Техники за овладяване и контрол на стреса&quot;"/>
        <s v="&quot;Трудови правоотношения в детските градини. Съдържание, форма и сключване&#10; на трудови договори. Прекратяване на трудови договори. Обезщетения&quot;"/>
        <s v="„Ценностно ориентирано образование и възпитание в детската градина за постигане на толерантност във взаимоотношенията в детския колектив и изграждане на култура на поведение в обществото“"/>
        <s v="1. “Интерактивни методи и техники за образователно взаимодействие”, „Сдружение за социално и образователно приобщаване“; 2. “Приобщаващо образование – философия и подкрепа“, „Сдружение за социално и образователно приобщаване“"/>
        <s v="1.&quot;Интерактивни методи за формиране на екологична култура&quot;- дискусионен форум "/>
        <s v="Bett 2019-THE FUTURE IS HERE-1;Водене на ел.дневник в ДГ (20); Действия при БАК. Първа долекарска помощ (24); Иновативни педагогически стратегии за формиране на ключови компетентности в предучилищна възраст в контекста на новите ДОС и в условията на интерактивна учебна среда (2)"/>
        <s v="Атестиране на педагогическите специалисти - практически насоки за успешно оценяване и самооценяване"/>
        <s v="Атестирането - неизбежно и безопасно"/>
        <s v="БАК-Подготовка и обучение на деца и персонал в ДГ"/>
        <s v="БДП"/>
        <s v="Въвеждаща"/>
        <s v="Въвеждаща и продължаваща квалификация на педагогическите кадри: 1. Модел за работа с деца и агресивно поведение (8 бр.); 2. Методики и техники на ефективно включване на родителите  и семейството в системата на предучилищното образование - РУО (1 бр.); 3. Професионално портфолио на учителя и атестиране на педагогическите специалисти (22 бр.); 4. Трудово-правни отношения (1 бр.); 5. Придобиване на пета квалификационна степен (1 бр.); 6. Защита на личните данни - права и задължения. Практическа работа на длъжностните лица по ЗЛД, фирмен и документален одит (1 бр.)"/>
        <s v="Въвеждаща и продължаваща квалификация на педагогическите кадри: 1. Психология на общуването в образователна среда (20 бр.); 2. Методики и техники на ефективно включване на родителите  и семейството в системата на предучилищното образование - РУО (1 бр.); 3. Планиране на учебно-възпитателна работа. (20 бр.); 4. Трудово-правни отношения (1 бр.); 5. Придобиване на пета квалификационна степен (1 бр.); 6. Придобиване на четвърта квалафикационна степен (11 бр.)"/>
        <s v="Въвеждаща квалификация"/>
        <s v="Възпитание и обучение на децата по БДП / продължаваща и въвеждаща/"/>
        <s v="Външна квалификация - 2 теми"/>
        <s v="Външна квалификация - обучение за придобиване на V ПКС в СУ-ДИУУ"/>
        <s v="Външна квалификация - Работа с деца със СОП"/>
        <s v="Външна квалификация - Работа със задължителна документация"/>
        <s v="Външноинституционалана квалификация - тренинг, обучение, семинар"/>
        <s v="Външноинституционални - 4 бр."/>
        <s v="Вътрешна институционална и продължаваща квалификация"/>
        <s v="ВЪТРЕШНА КВАЛИФИКАЦИЯ"/>
        <s v="Вътрешни квалификационни форми"/>
        <s v="Вътрешно квалификационни форми"/>
        <s v="вътрешно-институционална - семинари"/>
        <s v="вътрешно-институционална - семинари- 37 служители "/>
        <s v="Вътрешноинституционална"/>
        <s v="Вътрешноинституционална  квалификация: Практикум „Задължителна документация при работа с деца със специални образователни потребности. Функции и задължения на ЕПЛР в детската градина.“"/>
        <s v="Вътрешноинституционална квалификация"/>
        <s v="Вътрешноинституционална квалификация-дикусия,практикум и семинар"/>
        <s v="Вътрешноинституционална квалификация-семинар тренинг"/>
        <s v="Вътрешноинституционални"/>
        <s v="Децата в аутистичен спектър"/>
        <s v="Директор"/>
        <s v="Директор: Велизара Костадинова Стоименова"/>
        <s v="Дислексия на развитието"/>
        <s v="Емпатия в приобщаващото образование"/>
        <s v="Ефективни методи за управление, решаване на конфликти и вземане на решения"/>
        <s v="Извънучилищна квалификация"/>
        <s v="Изграждане на ключови компетенции на педагогически специалисти"/>
        <s v="Изграждане на позитивна образователна среда в детската градина&quot;"/>
        <s v="Изнесен семинар за педагогическите специалисти "/>
        <s v="Използване на съвременни технически средства в образователният процес в ДГ"/>
        <s v="Иновативни методи за развитие и оценяване на творческите способности в ПУВ"/>
        <s v="Иновативни практики за подобряване взаимоотношенията с родителите"/>
        <s v="Интерактивни методи и техники за обр. взаимодействие"/>
        <s v="Интерактивни методи и техники за образователно взаимодействие"/>
        <s v="Интерактивни методи нат работа в ДГ. Традиции и новости , техника и игри."/>
        <s v="Качествено образование - гарант за задържане на децата в образователната система"/>
        <s v="Квалификационен курс"/>
        <s v="Квалификационен курс за директор детска градина"/>
        <s v="Квалификационен семинар"/>
        <s v="квалификационен семинар за повишаване на квалификацията с  РААБЕ "/>
        <s v="Компютърно обучение Word Exel Paurd poind"/>
        <s v="Конференция &quot;Приобщаващо образование&quot;"/>
        <s v="краткосрочни обучения"/>
        <s v="Курс - Хиперактивност и дефицит на вниманието"/>
        <s v="Курс за компютърна грамотност-5 модула"/>
        <s v="Лекция &quot;Децата от аутистичния спектър в общообразователната среда - специфика и успешно приобщаване&quot;"/>
        <s v="Лидерство и мениджмънт в образованието"/>
        <s v="Лидерство и работа в екип"/>
        <s v="МДБП"/>
        <s v="Международна конференция приобщаващо образование"/>
        <s v="Методи и подходи за решаване на конфликти"/>
        <s v="Методика за обучението на децата по безопасност на движението по пътищата"/>
        <s v="Методика на БДП"/>
        <s v="Методика на обучението по БДП"/>
        <s v="Методика на обучението по безопастност на движението"/>
        <s v="Най-новите информационни технологии в процеса на обучение"/>
        <s v="Наука и образование за интелектуален разтеж"/>
        <s v="Обучение електронни дневници - педагогически специалисти"/>
        <s v="Обучение на педагогическите специалисти по програма &quot;Управление на конфликтите в педагогическото взаимодействие. Техники за разрешаване.&quot;"/>
        <s v="Обучение по международен проект Еразъм + КД 1"/>
        <s v="Обучения на педагогически специалисти"/>
        <s v="Обучителен курс  на тема &quot;Най-новите информационни технологии в процеса на обучение&quot;"/>
        <s v="Обучителен семинар - директор &quot;Методи и техники за ефективно включване на родителите и семейството в системата на предучилищното и училищното образование&quot;"/>
        <s v="обучителен семинар директор"/>
        <s v="Обучителни курсове: &quot;Дигитални технологии. Дигитална дъска. Създаване на интерактивно учебно съдържание.&quot;; &quot;Методи и техники за ефективно включване на родителите и семейството в системата за предучилищното и училищно образование.&quot;; &quot;Информационни и комуникационни технологии в образованието&quot;&#10;&quot;Акценти в счетоводната отчетност на БО за 2019 г.&quot;; &quot;Механизъм за безопасно движение по пътища&quot;; &quot;Приобщаващо образование и психологическа грижа за ученици със СОП и ученици в риск&quot;; &quot;Изменения и допълнения в ЗФУК в публични сектор и отчетността на стопанската дейност в БО&quot;; &quot;Практически въпроси по прилагане на КТ и колективното договаряне в образователната система&quot;; &quot;Новият ЗМИП и Директива (ЕС) 215/849 на Европейския парламент и на съвета от 20 май 2015 г.&quot;; &quot;Иновативни педагогически стратегии за формиране на ключови компетентности в предучилищна възраст в контекста на новите ДОС и в условията на интерактивна учебна среда&quot;; &quot;Иновативни методи за развитие на творческите способности в предучилищна възраст&quot;"/>
        <s v="Онлайн обучение, 9"/>
        <s v="Отговорности и задължения на материално отговорни лица. Инвентаризация."/>
        <s v="Педагогическа практика &quot;Утринна приказка&quot;"/>
        <s v="Педагогическа технология за работа с деца със СОП."/>
        <s v="Педагогически"/>
        <s v="педагогически ,,Методика на възпоитание и обучение по БДП&quot;"/>
        <s v="Портфолио и Атестиране на педагогическите специалисти"/>
        <s v="Превенция и защите на личните данни"/>
        <s v="Презентационни умения. Вербална и невербална комуникация в работата на уч-ля"/>
        <s v="Придобиване на пета ПКС"/>
        <s v="Придобиване на правни умения от страна на педагогическите специалисти, посредством запознаването им с нормативната уредба, относима към системата на образованието,за адекватна реакция спрямо агресията на ученици, родители и общественост"/>
        <s v="придобиване правни умения по ЕР ,защита на лични данни "/>
        <s v="Приказкотерапия или как чрез приказките да създаваме позитивна образователна среда в условията на детската градина"/>
        <s v="Приобщаващо образование"/>
        <s v="Приобщаващо образование в детската градина"/>
        <s v="Продължаваща"/>
        <s v="Продължаваща и вътрешноинституционална квалификация"/>
        <s v="продължаваща квалификация"/>
        <s v="Продължаваща квалификация/10.2019"/>
        <s v="Професионално портфолио на учителя и атестиране на педагогическите специалисти"/>
        <s v="Професионалното портфолио на учителя, атестиране на пед. специалисти "/>
        <s v="Първа долекарска помощ"/>
        <s v="Първа долекарска помощ "/>
        <s v="Първа долекарска помощ - Спешни детски състояния"/>
        <s v="Първа долекарска помощ (ЦОИ - София)"/>
        <s v="Работа с облачни технологии"/>
        <s v="Работа с родителите"/>
        <s v="Разработване на планове за подкрепа при ресурсно подпомагане на деца със СОП"/>
        <s v="Разработване планове за подкрепа при ресурсно подпомагане"/>
        <s v="Разработване,внедряване и използване на интерактивини методи "/>
        <s v="Ролята на творческите  и диддактичните игри за повишаване на мотивацията и стимулиране на познавателната активност у децата. Провокиране на творческото мислене и въображение  при децата чрез игри"/>
        <s v="семинар"/>
        <s v="Семинар &quot;Трудово правни отношения в ДГ&quot;"/>
        <s v="семинар-директор"/>
        <s v="Семинари"/>
        <s v="Семинари "/>
        <s v="Семинари административен персонал"/>
        <s v="семинари,дискусии,открити практики"/>
        <s v="Семинари,проведени от оторизирани организации -педаг.персонал"/>
        <s v="Семинари: вътрешноинституционални 1 бр."/>
        <s v="Скрининг на деца "/>
        <s v="Скрининг тест за деца от 3 до 3 г. 6 м."/>
        <s v="Социокултурни компетентности на учителя в интеркултурна среда"/>
        <s v="Стратегия за справяне със синдрома &quot;Бърнауд&quot;"/>
        <s v="Сътрудничество с родителите/семействата на децата като основа за пълноценно образование в ПВ"/>
        <s v="Теории и практики в светлинта на новостите в системат на предучилищното образование "/>
        <s v="Теории и практикив светлината на новостите в системата на предуч. Образование"/>
        <s v="Техники за овладяване и контрол на професионалния стрес"/>
        <s v="Техники за овладяване и контрол на професионалния стрес“"/>
        <s v="Тренинг &quot;Ефективна комуникация и работа в екип.Разрешаване на конфликти.&quot;"/>
        <s v="Трудови правоотношения в детските градини.Съдуржание форма и склячване на трудови договори.Прекратяванен на трудови договори, обещетения."/>
        <s v="Трудово-правни отношения "/>
        <s v="Умения за работа в екип и лидерство на екипа в обазователната институция"/>
        <s v="Участие в семинари - директор"/>
        <s v="Учебна работа в детската градина в богата на технологии среда-работа с интерактивна дъска, таблети и образователен софтуер"/>
        <s v="Формиране на управленски компетентност"/>
        <m/>
      </sharedItems>
    </cacheField>
    <cacheField name="Брой в кв форма 1" numFmtId="0">
      <sharedItems containsString="0" containsBlank="1" containsNumber="1" containsInteger="1" minValue="0" maxValue="46" count="3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2"/>
        <n v="23"/>
        <n v="24"/>
        <n v="26"/>
        <n v="27"/>
        <n v="28"/>
        <n v="30"/>
        <n v="32"/>
        <n v="33"/>
        <n v="34"/>
        <n v="38"/>
        <n v="46"/>
        <m/>
      </sharedItems>
    </cacheField>
    <cacheField name="Участие на персонала в квалификационна форма 2" numFmtId="0">
      <sharedItems containsBlank="1" count="142" longText="1">
        <s v="&quot;JUMP Math$ - иновативна система за преподаване по математика"/>
        <s v="„Mетоди и техники за ефективно включване на родителите и семейството в системата на ПУО“"/>
        <s v="&quot;Безопасност на движението по пътищата&quot;"/>
        <s v="&quot;Безопастност на движение по пътищата. Методика на обучение&quot;"/>
        <s v="&quot;Влиянието на технологиите и съвременните средства за комуникация върху развитието на децата&quot;"/>
        <s v="&quot;Емоционална интелигентност&quot;"/>
        <s v="&quot;Иновативни практики за подобряване взаимоотношенията с родителите&quot;"/>
        <s v="&quot;Иновативни практики за подобряване взаймоотношенията с родители&quot;"/>
        <s v="&quot;Методика за обучение на децата и учениците по БДП&quot;"/>
        <s v="&quot;Мотивация на работното място и развитие на екипната работа&quot;"/>
        <s v="&quot;Новаторски подход за повишаване на мотивацията за учене&quot; "/>
        <s v="&quot;Обучение по професионално направление: „Помощник възпитател в отглеждането и възпитанието на деца&quot;"/>
        <s v="&quot;Оказване на първа долекарска помощ&quot;"/>
        <s v="&quot;Подготовка и обучение на децата и персонала в детската градина за безопасно поведение при бедствия&quot;"/>
        <s v="&quot;Позитивни подходи и физическа намеса за работа с деца с емоционални и поведенчески затруднения&quot;"/>
        <s v="&quot;Прилагане на скрининг тест за деца от 3 до 3 години и 6 месеца&quot;"/>
        <s v="&quot;Приобщаващо образование- философия на подкрепата&quot;"/>
        <s v="„Професионално портфолио на учителя и атестиране на педагогическите специалисти”"/>
        <s v="&quot;Справяне с критични ситуации по време на учене.&quot;"/>
        <s v="„Техники за създаване на благоприятен психологически климат на взаимодействие в педагогическите екипи, техники за екипна работа за постигане на общи стратегически цели“"/>
        <s v="&quot;Трудови правоотношения в детските градини&quot;"/>
        <s v="&quot;Трудови правоотношения&quot; и &quot;Методи и техники за включване на родителите&quot;"/>
        <s v="&quot;Учителско портфолио&quot;"/>
        <s v="2. &quot;Технология на педагогическата ситуация&quot; - открита практика"/>
        <s v="IV-то ПКС"/>
        <s v="Адаптация на децата"/>
        <s v="Акценти в счетоводната отчетност"/>
        <s v="БДП"/>
        <s v="БДП - Методика на преподаването "/>
        <s v="Безопасни и здравословни условия на труд и отглеждане на деца в детската градина"/>
        <s v="Въвеждаща и продължаваща кв-кация на педагогическите кадри:&#10;1. Техники за обладяване и контролилане на професионалния стрес -18бр.&#10;2. Организиране на открита педагогическа практика  - подготовка, реализация и представяне - 18бр.&#10;3. Разпознаване на обучителни затруднения и комплексна подкрепа на деца с обучителни трудности- 18бр.&#10;4. Методики и техники на ефективно включване на родителите  и семейството в системата на предучилищното образование - РУО- 1 бр.&#10;5. Професионално портфолио на учителя и атестиране на педагогическите специалисти - 4 р. &#10;6. Трудово- правни отношения - 1 бр.&#10;7. Ресурсните учители и съвместно преподаване  в приобщаващото образование -3 бр.&#10;8. Защита на личните данни - права и задължения. Практическа работа на длъжностните лица по ЗЛД, фирмен и документален одит - 1 бр."/>
        <s v="Външна квалификация - обучение  по Нар. 15/ 2019 г. за атестирането"/>
        <s v="Външна квалификация - Портфолио на учителя и атестиране"/>
        <s v="Външна квалификация - Работа в екип "/>
        <s v="Външни квалификации"/>
        <s v="Външно квалификационни форми"/>
        <s v="външно-институционална- семинари"/>
        <s v="външно-институционална- семинари- 18 служители"/>
        <s v="Външноинституционална квалификация-семинари"/>
        <s v="Вътрешно-квалификационна дейност - 10 теми"/>
        <s v="Вътрешноинституционалана квалификация - тренинг, обучение, семинар"/>
        <s v="Вътрешноинституционална"/>
        <s v="Вътрешноинституционална  квалификация: Лектория „ Атестиране на педагогическите специалисти и изготвяне на портфолио на учителите и други педагогически специалисти“"/>
        <s v="Вътрешноинституционална квалификация"/>
        <s v="Вътрешноинституционални - 8 бр."/>
        <s v="Вътрешноучилищна квалификация"/>
        <s v="ДАК"/>
        <s v="Диагностични тестове за деца от ПУВ"/>
        <s v="директор - ,,Трудови правоотношения в ДГ. Съдържание и форма за сключване на трудови договори, прекратяване на трудови договори&quot;"/>
        <s v="Дискусионен форум &quot;Интерактивни форми на взаимодействие детска градина/ семейство - позитивно сътрудничество с родителите&quot;"/>
        <s v="Играта в образованието. Педагогически игрови технологии"/>
        <s v="Игрова технология за осъществяване на образователния процес в детската градина"/>
        <s v="Иновативна ДГ (ПРОТЕКТА)"/>
        <s v="Инспекиране и атестиране"/>
        <s v="Интерактивни методи и техники за обр. взаимодействие"/>
        <s v="Интерактивни техники на обучението и възпитанието по БДП"/>
        <s v="квалификационен курс"/>
        <s v="Квалификационен курс за педагогически специалисти"/>
        <s v="Квалификационни форми  за ПКС, по БДП,  индивидуален избор на квалифик. форми"/>
        <s v="Квалификация на педагогическите специалисти "/>
        <s v="Клинично изследване на детските психолози"/>
        <s v="Курс- Агресивни прояви в детската градина"/>
        <s v="МБДП и ИТТ по БДП"/>
        <s v="Международен симпозиум в Будва, Черна Гора"/>
        <s v="Методи за работа с деца за управление на агресивно поведение"/>
        <s v="Методи и подходи при решаване на конфликти"/>
        <s v="Методика   на обучението на децата по безопасност на движението по пътищата"/>
        <s v="Методика на обучение по БДП"/>
        <s v="Методика на обучението на децата по безопасност на движението по пътищата"/>
        <s v="Методически насоки и специфики в образователния процес"/>
        <s v="Методическо подпомагане-въвеждаща квалификация"/>
        <s v="Музикално педагогическо майсторство и кариера"/>
        <s v="Музикотерапия"/>
        <s v="непедагогически"/>
        <s v="Обучение"/>
        <s v="Обучение &quot;Атестация, Наредба № 15, Професионалното портфолио ,успешно оценяване и самооценяване&quot;"/>
        <s v="Обучение за лични данни"/>
        <s v="Обучение на педагогическите специалисти по програма&quot; Професионално учителско и детско портфолио &quot;."/>
        <s v="Обучение на счетоводител"/>
        <s v="Обучения"/>
        <s v="Обучителен курс"/>
        <s v="обучителен курс за пом.възпитатели"/>
        <s v="обучителен семинар учители"/>
        <s v="Оказване на долекарска помощ, самопомощ и взаимопомощ "/>
        <s v="Основни подходи за превенция на агресията в педагогическото взаимодействие"/>
        <s v="Педагогически персонал"/>
        <s v="Педагози"/>
        <s v="Периодични обучения: по Наредба № РД 07-2, съгласно изискванията на чл. 6, ал. 2, т. 1, 2 и 3; Правилата за оказване на първа помощ, самопомощ и взаимопомощ."/>
        <s v="ПКС"/>
        <s v="ПКС- IV"/>
        <s v="Планиране и организация на квал. д-ст. Атестиране на пед. специалисти"/>
        <s v="Повишаване на административния капацитет при работа с деца"/>
        <s v="Позитивна педагогическа среда"/>
        <s v="Практически модели и успешни примери от с-мата за образование на страни в ЕС"/>
        <s v="Представяне на новите познавателни книжки &quot;Приятели&quot; и &quot;Малки приказни пътечки&quot; (12); Трудови правоотношения в ДГ. Съдържание,форма и сключване на ТД. Прекратяване на ТД, обезщетения (2); Пътна безопасност за намаляване на детския травматизъм (22)"/>
        <s v="Презентационни умения с Power Point"/>
        <s v="Приобщаващо образование "/>
        <s v="Продължаваща"/>
        <s v="Продължаваща "/>
        <s v="Продължаваща квалификация"/>
        <s v="продължаваща квалификация "/>
        <s v="Продължаваща квалификация/11.2019"/>
        <s v="продължаващи"/>
        <s v="Професионално портфолио на учителите.Атестиране на педагогическите специалисти"/>
        <s v="Професионално портфолио на учителя и атестиране на педагогическите специалисти"/>
        <s v="Пъра долекарска помощ"/>
        <s v="Първа долекарска помощ"/>
        <s v="Първа долекарска помощ - Спешни детски състояния, Академия «Първа помощ»"/>
        <s v="Разработва на планове за допълнителна подкрепа при ресурсно подпомагане на деца със СОП"/>
        <s v="Ранни предиктори за обучителни трудности,характерини за предучилищна възраст"/>
        <s v="Ранно оценяване на риска от проблеми в развитието и обучението на 3 г. деца със скрининг тест"/>
        <s v="Роботика срещу насилието "/>
        <s v="Самооценяването в системата на образование. Форми и съдържание"/>
        <s v="Семинар &quot;Атестиране на педагогическите специалисти; Наредба 15; Портфолио&quot;"/>
        <s v="Семинар &quot;Придобиване правни умения на педагогическите специалисти&quot;"/>
        <s v="Семинар за амортизации и новости в трудовото право"/>
        <s v="Семинар трудови правоотношения"/>
        <s v="Семинар-тренинг"/>
        <s v="Семинар&quot;Мотивиране на учителския екип за ефективна работа&quot;"/>
        <s v="семинари"/>
        <s v="Семинари продължаваща квалификация"/>
        <s v="Символни елементи при рисунките на децата"/>
        <s v="Създаване на електронни учебни помагала за икнтерактивни сензорни дисплеи/дъски; Специфични умения за работа в комисия по БДП (1); Методика на обучението по БДП (4); Планиране, организация и контрол на обучението по БДП (1);                                                       Трудови отношения в ДГ (1); Агресията в училищна среда - начини и техники за справяне (22)"/>
        <s v="Творчеството – реалност и необходимост при педагогическото взаимодействие – начин на поднасяне на информация за родители и деца, кътове по интереси, изработване на табла и дидактични материали във всички групи"/>
        <s v="Техники за контрол на професионалния стрес"/>
        <s v="Техники за овладяване и контрол на професионалния стрес"/>
        <s v="Техники за превенция на проблемното поведение в образователната среда“"/>
        <s v="Тренинг"/>
        <s v="тренинги"/>
        <s v="Тренинги: 1 бр."/>
        <s v="Трудови правоотношения в ДГ"/>
        <s v="Трудови правоотношения в ДГ, съдържание, форма и сключване на договори. Прекратяване на трудови договори, обезщетения"/>
        <s v="Трудови правоотношения в детските градини"/>
        <s v="Трудово правни отношения в ДГ "/>
        <s v="Употреба на психоактивни вещества. Модели на превенция и терапия"/>
        <s v="Управление на качеството в образователната институция – същност, принципи, цели, изисквания, реализация. Самооценяване.“"/>
        <s v="Участие в семинари - педагогически персонал"/>
        <s v="Училищното и предучилищно образование-реалност,  инованивни подходи ..."/>
        <s v="Уършоп"/>
        <s v="Формиране и мотивация на екипи. Управление и координация на педагогическите екипи."/>
        <s v="Хиперактивност и дефицит на вниманието"/>
        <m/>
      </sharedItems>
    </cacheField>
    <cacheField name="Брой в кв форма 2" numFmtId="0">
      <sharedItems containsString="0" containsBlank="1" containsNumber="1" containsInteger="1" minValue="0" maxValue="60" count="3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8"/>
        <n v="32"/>
        <n v="33"/>
        <n v="34"/>
        <n v="36"/>
        <n v="50"/>
        <n v="60"/>
        <m/>
      </sharedItems>
    </cacheField>
    <cacheField name="Участие на персонала в квалификационна форма 3" numFmtId="0">
      <sharedItems containsBlank="1" count="111" longText="1">
        <s v=",,Интеграция на деца със СОП&quot;"/>
        <s v="&quot;Атестиране на педагогическите специалисти-практически насоки за успешно оценяване и самооценяване. Оценка на труда и формиране на работната заплата&quot;"/>
        <s v="&quot;Деца от аутистичен спектър в образователната среда&quot;"/>
        <s v="&quot;Ефективни практики за работа на методическите обединения&quot;"/>
        <s v="&quot;Иновации в действие: Япония- България&quot;"/>
        <s v="&quot;Интерактивна образователна среда за възпитание и обучение по безопасност на движението по пътищата&quot;"/>
        <s v="&quot;Интерактивни методи и техники за образователно взаимодействие&quot;."/>
        <s v="&quot;Методи, техники за ефективно включване на родителите в системата на ПУВ&quot;"/>
        <s v="&quot;Методика на обучение по БДП&quot;"/>
        <s v="„Планиране, организация и контрол на обучението по БДП“"/>
        <s v="„Повишаване на административния капацитет при работа с деца“"/>
        <s v="&quot;Повишаване на административния капацитет при работата с деца&quot;"/>
        <s v="&quot;Проактивен подход за ефективно планиране, организиране и изпълнение на дейностите в динамично променящата се съвременна образователна среда&quot;"/>
        <s v="&quot;Професионално портфолио на учителя и атестиране на педагогическите специалисти&quot;"/>
        <s v="&quot;Първа долекарска помощ&quot;"/>
        <s v="&quot;Ранно оценяване на 3 год. деца със скрининг тест&quot;"/>
        <s v="„Трудови правоотношения в детските градини. Съдържание, форма и сключване на трудови договори. "/>
        <s v="&quot;Трудово правни отношения в ДГ; съдържание форма и сключване на трудов договор&quot;"/>
        <s v="3. &quot;Работа с интерактивна бяла дъска&quot; - открита практика"/>
        <s v="BG05M20P001-3.005-0004 &quot;Активно приобщаване в системата на предучилищното образование&quot;"/>
        <s v="Агресивни прояви в детската градина"/>
        <s v="актуални проблеми на обучението по БДП"/>
        <s v="Акценти в ДОС, ЗПУО и Наредба № 14 от 22.07.2019 г. / продължаваща вътрешноинстит./"/>
        <s v="БДП (ДИДАСКО, ЦПО)"/>
        <s v="Безопасност при работа по електрообзавеждане с напрежение до 1000V"/>
        <s v="Взаимодействие на образователните инцтитуции с родителите на децата и учениците"/>
        <s v="Взаимодействие с родителите"/>
        <s v="Възпитание и обучение на децата за безопасно поведение на пътя-актуалност и тенденции"/>
        <s v="Външна квалификация -  Ритъм, движение и музика в детския танц"/>
        <s v="Външна квалификация - психолог "/>
        <s v="вътрешно-институционална - практикум"/>
        <s v="вътрешно-институционална - практикум- 18 бр."/>
        <s v="Вътрешноинституционална"/>
        <s v="Вътрешноинституционална  квалификация: практикум: „Електронен дневник – функции и вътрешна комуникация“"/>
        <s v="Вътрешноинституционална квалификация - обучение &quot;Първа помощ при деца&quot;"/>
        <s v="Вътрешноинституционална квалификация-семинар тренинг"/>
        <s v="Готовност на децата за училище"/>
        <s v="дискусия"/>
        <s v="Еразъм ,К1 "/>
        <s v="Ефективни техники за комуникация и работа с родителите. Взаимодействие семейство-образователна институция"/>
        <s v="Знания, умения и компетенции на учителите за ефектовна работа в мултикултурна среда"/>
        <s v="Изграждане на ключови компетенции на педагогическите специалисти"/>
        <s v="Инов.методи за развитие и оценяване на творческите способности н ПВ"/>
        <s v="Иновативна детска градина"/>
        <s v="Иновативни практики за подобряване взаимоотношенията с родителите"/>
        <s v="Квалификационни форми с присъждане на кредити"/>
        <s v="квалификация с РУО"/>
        <s v="Комуникативни техники на общуване в педагогическия процес"/>
        <s v="Конфликти и проблеми в работата на учителя-начини за преодоляване"/>
        <s v="Коучинг в образованието"/>
        <s v="Кръгла маса/обмяна на опит"/>
        <s v="Курс за придобиване квалификация помощ.възпитател"/>
        <s v="Лекция с практикум &quot;Портфолио на учителя и детето. Самооценка и атестация в образованието&quot;"/>
        <s v="Методи за обучение на децата по БДП"/>
        <s v="Методи и техники за активно включване на родителите и семейството в системата на ПУО"/>
        <s v="Методи и техники за ефективно включване на родителите и семейството в системата на предучилищното и училищно образование"/>
        <s v="Методи и техники за ефективно включване на родителите и семейството в системата на ПУО"/>
        <s v="Методика на обучение по БДП"/>
        <s v="Методика на обучението по БДП. Специфични умения за работа в комисиите по БДП"/>
        <s v="Научно-практически форуми и конференции: &quot; Иновации в обучението и познавателното развитие.&quot;; &quot;Качественото образование гарант за задържане на децата в образователната среда&quot;; &quot;Съвременни тенденции в предучилищно образование&quot;; &quot;Устойчивост и иновации в модернизирането на българската детска градина&quot;"/>
        <s v="Неврози в детска възраст"/>
        <s v="Непедагогически персонал"/>
        <s v="Новости в системата на предучилищното образование"/>
        <s v="Обмяна на добри практики"/>
        <s v="Обучение &quot;Новости в изискванията за назначаване на хора с увреждания&quot;"/>
        <s v="Обучение &quot;Скрининг тест за деца от 3 г. до 3 г. 6 м.&quot;"/>
        <s v="Обучение за прилагане на скриниг тест за деца от 3 до 3 години и 6 месеца"/>
        <s v="Обучение на педагогическите специалисти по програма &quot;диагностични тестове за деца от предучилищна възраст&quot;."/>
        <s v="обучение с кредити"/>
        <s v="обучение-директор"/>
        <s v="Обучение-подходи за превенция на агресията в педагог.взаимодействие"/>
        <s v="Обучения на непадагогически кадри &#10;1. Помощник - възпитател в одглеждането и възпитанието на деца - 1 бр.&#10;2.  Защита на личните данни - права и задължения. Практическа работа на длъжностните лица по ЗЛД, фирмен и документален одит - 1 бр."/>
        <s v="Обучителен курс"/>
        <s v="обучителен семинар директор"/>
        <s v="Общуване на учителя с новите поколения ученици"/>
        <s v="Открита практика"/>
        <s v="ПКС- I"/>
        <s v="По проект REFEE 1. Игра и учене; 2. Музика с малки деца на практика и теория; 3. Тяло, сензорика и движение; "/>
        <s v="Подготовка и разработване на документи за атестиране -портфолио"/>
        <s v="Помощник възпитатели"/>
        <s v="Портфолио на учителя"/>
        <s v="Практикум"/>
        <s v="Приказките, игрите и играчките като средство за в-е на децата"/>
        <s v="Приказкотерапия или как чрез приказката да създадем позитивна среда на децата в детската градина"/>
        <s v="Прилагане на скрининг тест при деца от 3 години до 3 години и 6 месеца"/>
        <s v="Приобщаващо образование"/>
        <s v="Провеждане на процедури по ЗОП "/>
        <s v="продължаваща квалификация - &quot;Помощник възпитател&quot;"/>
        <s v="Просоциални зенности в ранна детска възраст"/>
        <s v="Професионално портфолио на учителя и атестация на педагогическите специалисти"/>
        <s v="Професионално портфолио на учителя и атестиране на педагогическите специалисти"/>
        <s v="Професионално учителско и детско портфолио"/>
        <s v="Психофизиологични и неврофизиологични подходи за откриване на биомаркери при деца и юноши от аутистичния спектър, чрез изследване на зрителното възприятие"/>
        <s v="Първа долекарска помощ"/>
        <s v="Разрешаване на конфликти в ПВ. Техники за разрешаване. Приказкотерапия"/>
        <s v="Ранни предикатори за обучителни трудности"/>
        <s v="Ранни предиктори за обучителни трудности, характерни за предучилищна възраст (1); Дни на индивидуалната психология (1); Прилагане на скрининг-тест за деца 3 - 3,6 г. по проект &quot;Активно приобщаване в системата на ПО&quot; (1); Вътрешноинституциална квалификация(5 х 18 бр.)"/>
        <s v="Ранно оценяване на детето "/>
        <s v="Ранното детско образование в предучилищна възраст в ПС АБВ за иновация и интеграция - семинар-дискусия"/>
        <s v="Семинар"/>
        <s v="Сертифицирано обучение за работа с тестове - рейтинг скала за oценка на детския аутизъм „CARS 2”, Фондация „Хестия“"/>
        <s v="следдипломна специализация"/>
        <s v="Справяне със стреса на работното място"/>
        <s v="Техники за работа с родители"/>
        <s v="Трудовите правоотношения в детските градини"/>
        <s v="Трудово право в нормативната уредба-ЗЗЛД"/>
        <s v="Управление на конфликтите в ПВ "/>
        <s v="Управление на професионалния стрес и емоциите"/>
        <s v="Училище по психопатология"/>
        <s v="Училищна медиация за справяне със ситуацията на конфронтация, агресия и изключване. Създаване на среда на доверие и взаимопомощ."/>
        <m/>
      </sharedItems>
    </cacheField>
    <cacheField name="Брой в кв форма 3" numFmtId="0">
      <sharedItems containsString="0" containsBlank="1" containsNumber="1" containsInteger="1" minValue="1" maxValue="54" count="29">
        <n v="1"/>
        <n v="2"/>
        <n v="3"/>
        <n v="4"/>
        <n v="5"/>
        <n v="6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6"/>
        <n v="28"/>
        <n v="33"/>
        <n v="34"/>
        <n v="42"/>
        <n v="54"/>
        <m/>
      </sharedItems>
    </cacheField>
    <cacheField name="СМБЗ на педагогически персонал:" numFmtId="0">
      <sharedItems containsString="0" containsBlank="1" containsNumber="1" minValue="183" maxValue="1520.27" count="187">
        <n v="183"/>
        <n v="829.72"/>
        <n v="1043.94"/>
        <n v="1084.23"/>
        <n v="1109"/>
        <n v="1109.75"/>
        <n v="1113.18"/>
        <n v="1118"/>
        <n v="1118.83"/>
        <n v="1122.33"/>
        <n v="1127.6"/>
        <n v="1127.87"/>
        <n v="1129.9"/>
        <n v="1133"/>
        <n v="1139.42"/>
        <n v="1148.84"/>
        <n v="1152.73"/>
        <n v="1154"/>
        <n v="1157"/>
        <n v="1158.59"/>
        <n v="1159.16"/>
        <n v="1162.81"/>
        <n v="1168"/>
        <n v="1174.1"/>
        <n v="1178"/>
        <n v="1181.05"/>
        <n v="1189"/>
        <n v="1193"/>
        <n v="1193.25"/>
        <n v="1197"/>
        <n v="1198"/>
        <n v="1201.38"/>
        <n v="1206.95"/>
        <n v="1208"/>
        <n v="1211.28"/>
        <n v="1211.95"/>
        <n v="1212"/>
        <n v="1214"/>
        <n v="1218.48"/>
        <n v="1221.67"/>
        <n v="1222"/>
        <n v="1222.61"/>
        <n v="1223.82"/>
        <n v="1225"/>
        <n v="1228.08"/>
        <n v="1230.64"/>
        <n v="1234.3"/>
        <n v="1237.24"/>
        <n v="1238.15"/>
        <n v="1240.81"/>
        <n v="1241"/>
        <n v="1242"/>
        <n v="1243.38"/>
        <n v="1244.49"/>
        <n v="1244.65"/>
        <n v="1246"/>
        <n v="1246.98"/>
        <n v="1248.96"/>
        <n v="1250.95"/>
        <n v="1253.13"/>
        <n v="1254.41"/>
        <n v="1255.35"/>
        <n v="1257.32"/>
        <n v="1258.64"/>
        <n v="1259.09"/>
        <n v="1259.36"/>
        <n v="1260"/>
        <n v="1261.06"/>
        <n v="1261.16"/>
        <n v="1261.98"/>
        <n v="1262"/>
        <n v="1263.44"/>
        <n v="1263.77"/>
        <n v="1265.87"/>
        <n v="1267"/>
        <n v="1272"/>
        <n v="1275"/>
        <n v="1275.37"/>
        <n v="1277.7"/>
        <n v="1279.67"/>
        <n v="1280"/>
        <n v="1285.5"/>
        <n v="1285.76"/>
        <n v="1286"/>
        <n v="1287.94"/>
        <n v="1288.32"/>
        <n v="1290.77"/>
        <n v="1292.8"/>
        <n v="1295"/>
        <n v="1295.67"/>
        <n v="1296"/>
        <n v="1296.62"/>
        <n v="1297"/>
        <n v="1298.26"/>
        <n v="1298.48"/>
        <n v="1302.07"/>
        <n v="1303.36"/>
        <n v="1303.65"/>
        <n v="1304.41"/>
        <n v="1305.01"/>
        <n v="1314.43"/>
        <n v="1318"/>
        <n v="1318.8"/>
        <n v="1319"/>
        <n v="1324.97"/>
        <n v="1326"/>
        <n v="1327"/>
        <n v="1329.01"/>
        <n v="1330"/>
        <n v="1330.08"/>
        <n v="1332"/>
        <n v="1332.61"/>
        <n v="1334.55"/>
        <n v="1335"/>
        <n v="1335.74"/>
        <n v="1337"/>
        <n v="1338"/>
        <n v="1338.53"/>
        <n v="1339.05"/>
        <n v="1339.62"/>
        <n v="1340"/>
        <n v="1340.13"/>
        <n v="1341"/>
        <n v="1344.77"/>
        <n v="1345"/>
        <n v="1345.62"/>
        <n v="1349.75"/>
        <n v="1350.33"/>
        <n v="1351.81"/>
        <n v="1352"/>
        <n v="1353.58"/>
        <n v="1355"/>
        <n v="1355.48"/>
        <n v="1358.18"/>
        <n v="1358.73"/>
        <n v="1359"/>
        <n v="1361.34"/>
        <n v="1363"/>
        <n v="1363.42"/>
        <n v="1364.22"/>
        <n v="1365"/>
        <n v="1365.52"/>
        <n v="1367.57"/>
        <n v="1368.3"/>
        <n v="1369.82"/>
        <n v="1370.45"/>
        <n v="1371"/>
        <n v="1376"/>
        <n v="1379"/>
        <n v="1379.9"/>
        <n v="1380"/>
        <n v="1381.5"/>
        <n v="1382.45"/>
        <n v="1383"/>
        <n v="1385.8"/>
        <n v="1385.99"/>
        <n v="1386.8"/>
        <n v="1393.16"/>
        <n v="1393.68"/>
        <n v="1394.26"/>
        <n v="1396.09"/>
        <n v="1398.51"/>
        <n v="1399"/>
        <n v="1399.2"/>
        <n v="1400.15"/>
        <n v="1402"/>
        <n v="1411.69"/>
        <n v="1415"/>
        <n v="1421"/>
        <n v="1421.76"/>
        <n v="1425"/>
        <n v="1434.58"/>
        <n v="1435.49"/>
        <n v="1442.38"/>
        <n v="1448"/>
        <n v="1454.38"/>
        <n v="1465.26"/>
        <n v="1469.84594594595"/>
        <n v="1474.07"/>
        <n v="1474.39"/>
        <n v="1475"/>
        <n v="1491.33"/>
        <n v="1492.8"/>
        <n v="1513.53"/>
        <n v="1515.53"/>
        <n v="1520.27"/>
        <m/>
      </sharedItems>
    </cacheField>
    <cacheField name="СМБЗ на непедагогически персонал:" numFmtId="0">
      <sharedItems containsString="0" containsBlank="1" containsNumber="1" minValue="79" maxValue="1299.99" count="187">
        <n v="79"/>
        <n v="606.49"/>
        <n v="640"/>
        <n v="657"/>
        <n v="661.71"/>
        <n v="674.33"/>
        <n v="687.8"/>
        <n v="711.64"/>
        <n v="718.66"/>
        <n v="723.54"/>
        <n v="725"/>
        <n v="726"/>
        <n v="732"/>
        <n v="733.18"/>
        <n v="734.48"/>
        <n v="737"/>
        <n v="737.74"/>
        <n v="739.99"/>
        <n v="740"/>
        <n v="742.37"/>
        <n v="744"/>
        <n v="746"/>
        <n v="747.27"/>
        <n v="747.43"/>
        <n v="747.64"/>
        <n v="749.46"/>
        <n v="750.38"/>
        <n v="752.52"/>
        <n v="753.27"/>
        <n v="754.41"/>
        <n v="754.93"/>
        <n v="759"/>
        <n v="761.15"/>
        <n v="763"/>
        <n v="763.16"/>
        <n v="765.16"/>
        <n v="766"/>
        <n v="769.09"/>
        <n v="770"/>
        <n v="770.24"/>
        <n v="770.9"/>
        <n v="772.18"/>
        <n v="774.44"/>
        <n v="775"/>
        <n v="775.19"/>
        <n v="775.38"/>
        <n v="776"/>
        <n v="776.98"/>
        <n v="777.21"/>
        <n v="778.04"/>
        <n v="779"/>
        <n v="780"/>
        <n v="781"/>
        <n v="781.33"/>
        <n v="782"/>
        <n v="782.09"/>
        <n v="782.88"/>
        <n v="784"/>
        <n v="784.43"/>
        <n v="786.26"/>
        <n v="786.92"/>
        <n v="787.4"/>
        <n v="787.53"/>
        <n v="787.72"/>
        <n v="788"/>
        <n v="788.04"/>
        <n v="788.09"/>
        <n v="789"/>
        <n v="790"/>
        <n v="790.51"/>
        <n v="791"/>
        <n v="792.9"/>
        <n v="793.07"/>
        <n v="793.68"/>
        <n v="796"/>
        <n v="797"/>
        <n v="797.62"/>
        <n v="798"/>
        <n v="799"/>
        <n v="799.72"/>
        <n v="800"/>
        <n v="801.95"/>
        <n v="802.96"/>
        <n v="803"/>
        <n v="803.24"/>
        <n v="804"/>
        <n v="804.65"/>
        <n v="805.18"/>
        <n v="805.49"/>
        <n v="806.45"/>
        <n v="807.59"/>
        <n v="807.88"/>
        <n v="808"/>
        <n v="809"/>
        <n v="809.97"/>
        <n v="810"/>
        <n v="810.18"/>
        <n v="810.68"/>
        <n v="811.34"/>
        <n v="811.81"/>
        <n v="812.57"/>
        <n v="813.51"/>
        <n v="813.75"/>
        <n v="814.47"/>
        <n v="814.94"/>
        <n v="815.03"/>
        <n v="816"/>
        <n v="818"/>
        <n v="819"/>
        <n v="819.13"/>
        <n v="819.53"/>
        <n v="820"/>
        <n v="820.3"/>
        <n v="821.81"/>
        <n v="821.95"/>
        <n v="822.63"/>
        <n v="822.9"/>
        <n v="824"/>
        <n v="825"/>
        <n v="825.54"/>
        <n v="825.95"/>
        <n v="825.99"/>
        <n v="827"/>
        <n v="827.91"/>
        <n v="828.56"/>
        <n v="829"/>
        <n v="829.13"/>
        <n v="831"/>
        <n v="831.11"/>
        <n v="831.21"/>
        <n v="831.46"/>
        <n v="831.56"/>
        <n v="831.95"/>
        <n v="832"/>
        <n v="833"/>
        <n v="833.05"/>
        <n v="835"/>
        <n v="837.73"/>
        <n v="838.72"/>
        <n v="841.24"/>
        <n v="842.53"/>
        <n v="843"/>
        <n v="843.23"/>
        <n v="843.77"/>
        <n v="844"/>
        <n v="844.25"/>
        <n v="844.78"/>
        <n v="846"/>
        <n v="847.3"/>
        <n v="847.48"/>
        <n v="848"/>
        <n v="848.4"/>
        <n v="849.1"/>
        <n v="849.57"/>
        <n v="850.05"/>
        <n v="856.6"/>
        <n v="859.74"/>
        <n v="860"/>
        <n v="861.34"/>
        <n v="862"/>
        <n v="864.58"/>
        <n v="865"/>
        <n v="867.27"/>
        <n v="869"/>
        <n v="869.56"/>
        <n v="869.93"/>
        <n v="871.05"/>
        <n v="872.97"/>
        <n v="876.38"/>
        <n v="878.87"/>
        <n v="881"/>
        <n v="882"/>
        <n v="885"/>
        <n v="886"/>
        <n v="892.27"/>
        <n v="899.35"/>
        <n v="900.67"/>
        <n v="907"/>
        <n v="910.09"/>
        <n v="910.36"/>
        <n v="925.49"/>
        <n v="942"/>
        <n v="949.24"/>
        <n v="986"/>
        <n v="1163.37"/>
        <n v="1299.99"/>
        <m/>
      </sharedItems>
    </cacheField>
    <cacheField name="Дата: " numFmtId="0">
      <sharedItems containsDate="1" containsMixedTypes="1" minDate="2019-11-06T00:00:00" maxDate="2019-11-27T00:00:00" count="25">
        <d v="2019-11-06T00:00:00"/>
        <d v="2019-11-08T00:00:00"/>
        <d v="2019-11-11T00:00:00"/>
        <d v="2019-11-12T00:00:00"/>
        <d v="2019-11-13T00:00:00"/>
        <d v="2019-11-14T00:00:00"/>
        <d v="2019-11-15T00:00:00"/>
        <d v="2019-11-27T00:00:00"/>
        <s v="07.11.2019 г."/>
        <s v="08.11.2019 г."/>
        <s v="10.12.2019 г."/>
        <s v="11.11.2019 г."/>
        <s v="12.11.2019 г."/>
        <s v="13.11.2019 г."/>
        <s v="14.11.2019 г."/>
        <s v="15.11.2019 г."/>
        <s v="18.11.2019 г."/>
        <s v="19.11.2019 г."/>
        <s v="20.11.2019 г."/>
        <s v="21.11.2019 г."/>
        <s v="24.01.2020 г."/>
        <s v="26.11.2019 г."/>
        <s v="27.11.2019 г."/>
        <s v="28.01.2020 г."/>
        <s v="29.01.2020 г.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4">
  <r>
    <x v="78"/>
    <x v="0"/>
    <x v="0"/>
    <x v="4"/>
    <x v="3"/>
    <x v="100"/>
    <x v="90"/>
    <x v="39"/>
    <x v="106"/>
    <x v="16"/>
    <x v="187"/>
    <x v="104"/>
    <x v="0"/>
    <x v="129"/>
    <x v="54"/>
    <x v="21"/>
    <x v="8"/>
    <x v="5"/>
    <x v="3"/>
    <x v="2"/>
    <x v="0"/>
    <x v="0"/>
    <x v="0"/>
    <x v="0"/>
    <x v="1"/>
    <x v="9"/>
    <x v="2"/>
    <x v="20"/>
    <x v="1"/>
    <x v="6"/>
    <x v="1"/>
    <x v="14"/>
    <x v="1"/>
    <x v="13"/>
    <x v="0"/>
    <x v="0"/>
    <x v="4"/>
    <x v="38"/>
    <x v="57"/>
    <x v="187"/>
    <x v="0"/>
    <x v="43"/>
    <x v="86"/>
    <x v="22"/>
    <x v="0"/>
    <x v="36"/>
    <x v="0"/>
    <x v="60"/>
    <x v="0"/>
    <x v="22"/>
    <x v="12"/>
    <x v="21"/>
    <x v="26"/>
    <x v="150"/>
    <x v="1"/>
    <x v="3"/>
    <x v="12"/>
    <x v="110"/>
    <x v="28"/>
    <x v="140"/>
    <x v="170"/>
    <x v="16"/>
  </r>
  <r>
    <x v="90"/>
    <x v="105"/>
    <x v="0"/>
    <x v="4"/>
    <x v="23"/>
    <x v="133"/>
    <x v="147"/>
    <x v="87"/>
    <x v="192"/>
    <x v="143"/>
    <x v="190"/>
    <x v="56"/>
    <x v="3"/>
    <x v="97"/>
    <x v="41"/>
    <x v="15"/>
    <x v="7"/>
    <x v="5"/>
    <x v="3"/>
    <x v="2"/>
    <x v="2"/>
    <x v="0"/>
    <x v="0"/>
    <x v="1"/>
    <x v="1"/>
    <x v="10"/>
    <x v="2"/>
    <x v="27"/>
    <x v="4"/>
    <x v="54"/>
    <x v="2"/>
    <x v="40"/>
    <x v="2"/>
    <x v="43"/>
    <x v="0"/>
    <x v="0"/>
    <x v="9"/>
    <x v="126"/>
    <x v="179"/>
    <x v="174"/>
    <x v="0"/>
    <x v="53"/>
    <x v="136"/>
    <x v="0"/>
    <x v="1"/>
    <x v="20"/>
    <x v="1"/>
    <x v="34"/>
    <x v="0"/>
    <x v="22"/>
    <x v="48"/>
    <x v="56"/>
    <x v="87"/>
    <x v="26"/>
    <x v="23"/>
    <x v="94"/>
    <x v="22"/>
    <x v="96"/>
    <x v="16"/>
    <x v="172"/>
    <x v="169"/>
    <x v="16"/>
  </r>
  <r>
    <x v="149"/>
    <x v="117"/>
    <x v="0"/>
    <x v="13"/>
    <x v="17"/>
    <x v="184"/>
    <x v="3"/>
    <x v="128"/>
    <x v="9"/>
    <x v="52"/>
    <x v="54"/>
    <x v="176"/>
    <x v="1"/>
    <x v="2"/>
    <x v="54"/>
    <x v="21"/>
    <x v="8"/>
    <x v="5"/>
    <x v="3"/>
    <x v="2"/>
    <x v="1"/>
    <x v="0"/>
    <x v="2"/>
    <x v="1"/>
    <x v="0"/>
    <x v="0"/>
    <x v="2"/>
    <x v="21"/>
    <x v="2"/>
    <x v="22"/>
    <x v="1"/>
    <x v="10"/>
    <x v="1"/>
    <x v="11"/>
    <x v="0"/>
    <x v="0"/>
    <x v="4"/>
    <x v="31"/>
    <x v="62"/>
    <x v="60"/>
    <x v="0"/>
    <x v="0"/>
    <x v="29"/>
    <x v="0"/>
    <x v="0"/>
    <x v="36"/>
    <x v="0"/>
    <x v="60"/>
    <x v="0"/>
    <x v="22"/>
    <x v="17"/>
    <x v="23"/>
    <x v="35"/>
    <x v="42"/>
    <x v="12"/>
    <x v="141"/>
    <x v="34"/>
    <x v="110"/>
    <x v="28"/>
    <x v="137"/>
    <x v="171"/>
    <x v="12"/>
  </r>
  <r>
    <x v="139"/>
    <x v="128"/>
    <x v="0"/>
    <x v="8"/>
    <x v="1"/>
    <x v="127"/>
    <x v="180"/>
    <x v="102"/>
    <x v="181"/>
    <x v="88"/>
    <x v="156"/>
    <x v="96"/>
    <x v="0"/>
    <x v="60"/>
    <x v="54"/>
    <x v="21"/>
    <x v="8"/>
    <x v="5"/>
    <x v="3"/>
    <x v="2"/>
    <x v="1"/>
    <x v="0"/>
    <x v="0"/>
    <x v="0"/>
    <x v="0"/>
    <x v="0"/>
    <x v="1"/>
    <x v="3"/>
    <x v="1"/>
    <x v="3"/>
    <x v="0"/>
    <x v="0"/>
    <x v="0"/>
    <x v="0"/>
    <x v="1"/>
    <x v="14"/>
    <x v="1"/>
    <x v="3"/>
    <x v="9"/>
    <x v="19"/>
    <x v="0"/>
    <x v="0"/>
    <x v="4"/>
    <x v="15"/>
    <x v="0"/>
    <x v="36"/>
    <x v="1"/>
    <x v="60"/>
    <x v="0"/>
    <x v="22"/>
    <x v="2"/>
    <x v="2"/>
    <x v="4"/>
    <x v="115"/>
    <x v="7"/>
    <x v="41"/>
    <x v="7"/>
    <x v="110"/>
    <x v="28"/>
    <x v="4"/>
    <x v="103"/>
    <x v="12"/>
  </r>
  <r>
    <x v="82"/>
    <x v="139"/>
    <x v="0"/>
    <x v="4"/>
    <x v="2"/>
    <x v="55"/>
    <x v="4"/>
    <x v="172"/>
    <x v="28"/>
    <x v="4"/>
    <x v="2"/>
    <x v="77"/>
    <x v="6"/>
    <x v="6"/>
    <x v="7"/>
    <x v="7"/>
    <x v="5"/>
    <x v="4"/>
    <x v="2"/>
    <x v="1"/>
    <x v="0"/>
    <x v="0"/>
    <x v="0"/>
    <x v="0"/>
    <x v="0"/>
    <x v="0"/>
    <x v="2"/>
    <x v="23"/>
    <x v="1"/>
    <x v="2"/>
    <x v="3"/>
    <x v="42"/>
    <x v="3"/>
    <x v="47"/>
    <x v="0"/>
    <x v="0"/>
    <x v="7"/>
    <x v="60"/>
    <x v="109"/>
    <x v="75"/>
    <x v="0"/>
    <x v="0"/>
    <x v="0"/>
    <x v="0"/>
    <x v="0"/>
    <x v="36"/>
    <x v="0"/>
    <x v="60"/>
    <x v="0"/>
    <x v="22"/>
    <x v="29"/>
    <x v="28"/>
    <x v="50"/>
    <x v="113"/>
    <x v="8"/>
    <x v="132"/>
    <x v="1"/>
    <x v="110"/>
    <x v="28"/>
    <x v="41"/>
    <x v="32"/>
    <x v="16"/>
  </r>
  <r>
    <x v="42"/>
    <x v="150"/>
    <x v="0"/>
    <x v="4"/>
    <x v="13"/>
    <x v="19"/>
    <x v="93"/>
    <x v="67"/>
    <x v="154"/>
    <x v="30"/>
    <x v="40"/>
    <x v="35"/>
    <x v="1"/>
    <x v="34"/>
    <x v="16"/>
    <x v="21"/>
    <x v="8"/>
    <x v="5"/>
    <x v="3"/>
    <x v="2"/>
    <x v="0"/>
    <x v="0"/>
    <x v="0"/>
    <x v="0"/>
    <x v="2"/>
    <x v="18"/>
    <x v="2"/>
    <x v="22"/>
    <x v="1"/>
    <x v="15"/>
    <x v="2"/>
    <x v="26"/>
    <x v="2"/>
    <x v="43"/>
    <x v="0"/>
    <x v="0"/>
    <x v="7"/>
    <x v="81"/>
    <x v="103"/>
    <x v="125"/>
    <x v="0"/>
    <x v="0"/>
    <x v="56"/>
    <x v="0"/>
    <x v="0"/>
    <x v="36"/>
    <x v="0"/>
    <x v="60"/>
    <x v="0"/>
    <x v="22"/>
    <x v="22"/>
    <x v="42"/>
    <x v="56"/>
    <x v="31"/>
    <x v="16"/>
    <x v="97"/>
    <x v="16"/>
    <x v="110"/>
    <x v="28"/>
    <x v="130"/>
    <x v="140"/>
    <x v="17"/>
  </r>
  <r>
    <x v="180"/>
    <x v="161"/>
    <x v="0"/>
    <x v="19"/>
    <x v="23"/>
    <x v="124"/>
    <x v="84"/>
    <x v="47"/>
    <x v="118"/>
    <x v="65"/>
    <x v="90"/>
    <x v="106"/>
    <x v="7"/>
    <x v="129"/>
    <x v="54"/>
    <x v="21"/>
    <x v="8"/>
    <x v="5"/>
    <x v="3"/>
    <x v="2"/>
    <x v="0"/>
    <x v="0"/>
    <x v="0"/>
    <x v="0"/>
    <x v="1"/>
    <x v="7"/>
    <x v="4"/>
    <x v="52"/>
    <x v="3"/>
    <x v="45"/>
    <x v="3"/>
    <x v="54"/>
    <x v="3"/>
    <x v="57"/>
    <x v="0"/>
    <x v="0"/>
    <x v="12"/>
    <x v="137"/>
    <x v="173"/>
    <x v="121"/>
    <x v="33"/>
    <x v="0"/>
    <x v="115"/>
    <x v="0"/>
    <x v="0"/>
    <x v="36"/>
    <x v="2"/>
    <x v="13"/>
    <x v="0"/>
    <x v="22"/>
    <x v="56"/>
    <x v="67"/>
    <x v="98"/>
    <x v="7"/>
    <x v="1"/>
    <x v="141"/>
    <x v="34"/>
    <x v="110"/>
    <x v="28"/>
    <x v="121"/>
    <x v="76"/>
    <x v="12"/>
  </r>
  <r>
    <x v="155"/>
    <x v="172"/>
    <x v="0"/>
    <x v="4"/>
    <x v="8"/>
    <x v="113"/>
    <x v="85"/>
    <x v="145"/>
    <x v="166"/>
    <x v="170"/>
    <x v="23"/>
    <x v="145"/>
    <x v="3"/>
    <x v="129"/>
    <x v="54"/>
    <x v="21"/>
    <x v="8"/>
    <x v="5"/>
    <x v="3"/>
    <x v="2"/>
    <x v="4"/>
    <x v="0"/>
    <x v="0"/>
    <x v="0"/>
    <x v="3"/>
    <x v="34"/>
    <x v="3"/>
    <x v="42"/>
    <x v="3"/>
    <x v="43"/>
    <x v="3"/>
    <x v="55"/>
    <x v="2"/>
    <x v="46"/>
    <x v="0"/>
    <x v="0"/>
    <x v="12"/>
    <x v="139"/>
    <x v="178"/>
    <x v="136"/>
    <x v="0"/>
    <x v="8"/>
    <x v="129"/>
    <x v="0"/>
    <x v="0"/>
    <x v="36"/>
    <x v="0"/>
    <x v="60"/>
    <x v="0"/>
    <x v="22"/>
    <x v="49"/>
    <x v="65"/>
    <x v="96"/>
    <x v="151"/>
    <x v="25"/>
    <x v="60"/>
    <x v="2"/>
    <x v="108"/>
    <x v="0"/>
    <x v="175"/>
    <x v="60"/>
    <x v="13"/>
  </r>
  <r>
    <x v="137"/>
    <x v="183"/>
    <x v="0"/>
    <x v="4"/>
    <x v="16"/>
    <x v="73"/>
    <x v="111"/>
    <x v="64"/>
    <x v="32"/>
    <x v="127"/>
    <x v="100"/>
    <x v="80"/>
    <x v="0"/>
    <x v="17"/>
    <x v="54"/>
    <x v="21"/>
    <x v="8"/>
    <x v="5"/>
    <x v="3"/>
    <x v="2"/>
    <x v="3"/>
    <x v="0"/>
    <x v="0"/>
    <x v="0"/>
    <x v="0"/>
    <x v="0"/>
    <x v="1"/>
    <x v="4"/>
    <x v="1"/>
    <x v="8"/>
    <x v="1"/>
    <x v="14"/>
    <x v="1"/>
    <x v="11"/>
    <x v="0"/>
    <x v="0"/>
    <x v="2"/>
    <x v="14"/>
    <x v="26"/>
    <x v="26"/>
    <x v="0"/>
    <x v="20"/>
    <x v="35"/>
    <x v="0"/>
    <x v="0"/>
    <x v="36"/>
    <x v="0"/>
    <x v="60"/>
    <x v="0"/>
    <x v="22"/>
    <x v="7"/>
    <x v="5"/>
    <x v="9"/>
    <x v="100"/>
    <x v="2"/>
    <x v="141"/>
    <x v="34"/>
    <x v="110"/>
    <x v="28"/>
    <x v="152"/>
    <x v="79"/>
    <x v="9"/>
  </r>
  <r>
    <x v="190"/>
    <x v="1"/>
    <x v="0"/>
    <x v="4"/>
    <x v="22"/>
    <x v="161"/>
    <x v="106"/>
    <x v="112"/>
    <x v="120"/>
    <x v="105"/>
    <x v="32"/>
    <x v="19"/>
    <x v="0"/>
    <x v="129"/>
    <x v="54"/>
    <x v="21"/>
    <x v="8"/>
    <x v="5"/>
    <x v="3"/>
    <x v="2"/>
    <x v="0"/>
    <x v="0"/>
    <x v="0"/>
    <x v="0"/>
    <x v="2"/>
    <x v="18"/>
    <x v="2"/>
    <x v="20"/>
    <x v="2"/>
    <x v="27"/>
    <x v="2"/>
    <x v="36"/>
    <x v="2"/>
    <x v="28"/>
    <x v="0"/>
    <x v="0"/>
    <x v="8"/>
    <x v="91"/>
    <x v="137"/>
    <x v="135"/>
    <x v="0"/>
    <x v="40"/>
    <x v="121"/>
    <x v="0"/>
    <x v="0"/>
    <x v="36"/>
    <x v="0"/>
    <x v="60"/>
    <x v="1"/>
    <x v="11"/>
    <x v="31"/>
    <x v="40"/>
    <x v="64"/>
    <x v="88"/>
    <x v="10"/>
    <x v="111"/>
    <x v="10"/>
    <x v="88"/>
    <x v="4"/>
    <x v="143"/>
    <x v="178"/>
    <x v="21"/>
  </r>
  <r>
    <x v="77"/>
    <x v="12"/>
    <x v="0"/>
    <x v="4"/>
    <x v="12"/>
    <x v="30"/>
    <x v="95"/>
    <x v="139"/>
    <x v="177"/>
    <x v="72"/>
    <x v="154"/>
    <x v="136"/>
    <x v="0"/>
    <x v="129"/>
    <x v="54"/>
    <x v="21"/>
    <x v="8"/>
    <x v="5"/>
    <x v="3"/>
    <x v="2"/>
    <x v="0"/>
    <x v="0"/>
    <x v="0"/>
    <x v="0"/>
    <x v="1"/>
    <x v="4"/>
    <x v="3"/>
    <x v="46"/>
    <x v="1"/>
    <x v="11"/>
    <x v="2"/>
    <x v="44"/>
    <x v="1"/>
    <x v="8"/>
    <x v="0"/>
    <x v="0"/>
    <x v="6"/>
    <x v="73"/>
    <x v="130"/>
    <x v="120"/>
    <x v="24"/>
    <x v="30"/>
    <x v="158"/>
    <x v="0"/>
    <x v="0"/>
    <x v="36"/>
    <x v="1"/>
    <x v="41"/>
    <x v="0"/>
    <x v="22"/>
    <x v="26"/>
    <x v="40"/>
    <x v="60"/>
    <x v="62"/>
    <x v="22"/>
    <x v="131"/>
    <x v="1"/>
    <x v="24"/>
    <x v="0"/>
    <x v="141"/>
    <x v="69"/>
    <x v="9"/>
  </r>
  <r>
    <x v="119"/>
    <x v="23"/>
    <x v="0"/>
    <x v="4"/>
    <x v="22"/>
    <x v="97"/>
    <x v="96"/>
    <x v="55"/>
    <x v="58"/>
    <x v="154"/>
    <x v="193"/>
    <x v="127"/>
    <x v="0"/>
    <x v="15"/>
    <x v="54"/>
    <x v="21"/>
    <x v="8"/>
    <x v="5"/>
    <x v="3"/>
    <x v="2"/>
    <x v="1"/>
    <x v="0"/>
    <x v="1"/>
    <x v="0"/>
    <x v="3"/>
    <x v="27"/>
    <x v="4"/>
    <x v="48"/>
    <x v="2"/>
    <x v="30"/>
    <x v="2"/>
    <x v="45"/>
    <x v="2"/>
    <x v="30"/>
    <x v="0"/>
    <x v="0"/>
    <x v="11"/>
    <x v="130"/>
    <x v="132"/>
    <x v="130"/>
    <x v="19"/>
    <x v="32"/>
    <x v="148"/>
    <x v="0"/>
    <x v="1"/>
    <x v="30"/>
    <x v="1"/>
    <x v="57"/>
    <x v="0"/>
    <x v="22"/>
    <x v="42"/>
    <x v="58"/>
    <x v="88"/>
    <x v="144"/>
    <x v="16"/>
    <x v="112"/>
    <x v="26"/>
    <x v="109"/>
    <x v="22"/>
    <x v="124"/>
    <x v="46"/>
    <x v="11"/>
  </r>
  <r>
    <x v="159"/>
    <x v="33"/>
    <x v="0"/>
    <x v="5"/>
    <x v="6"/>
    <x v="12"/>
    <x v="97"/>
    <x v="95"/>
    <x v="37"/>
    <x v="157"/>
    <x v="27"/>
    <x v="32"/>
    <x v="7"/>
    <x v="129"/>
    <x v="54"/>
    <x v="21"/>
    <x v="8"/>
    <x v="5"/>
    <x v="3"/>
    <x v="2"/>
    <x v="1"/>
    <x v="0"/>
    <x v="0"/>
    <x v="1"/>
    <x v="4"/>
    <x v="37"/>
    <x v="2"/>
    <x v="26"/>
    <x v="2"/>
    <x v="28"/>
    <x v="2"/>
    <x v="39"/>
    <x v="1"/>
    <x v="20"/>
    <x v="0"/>
    <x v="0"/>
    <x v="9"/>
    <x v="115"/>
    <x v="141"/>
    <x v="156"/>
    <x v="0"/>
    <x v="0"/>
    <x v="126"/>
    <x v="0"/>
    <x v="0"/>
    <x v="36"/>
    <x v="0"/>
    <x v="60"/>
    <x v="0"/>
    <x v="22"/>
    <x v="24"/>
    <x v="59"/>
    <x v="77"/>
    <x v="64"/>
    <x v="19"/>
    <x v="141"/>
    <x v="34"/>
    <x v="110"/>
    <x v="28"/>
    <x v="97"/>
    <x v="113"/>
    <x v="13"/>
  </r>
  <r>
    <x v="157"/>
    <x v="43"/>
    <x v="0"/>
    <x v="5"/>
    <x v="12"/>
    <x v="42"/>
    <x v="119"/>
    <x v="191"/>
    <x v="124"/>
    <x v="91"/>
    <x v="48"/>
    <x v="135"/>
    <x v="0"/>
    <x v="42"/>
    <x v="54"/>
    <x v="21"/>
    <x v="8"/>
    <x v="5"/>
    <x v="3"/>
    <x v="2"/>
    <x v="0"/>
    <x v="0"/>
    <x v="0"/>
    <x v="0"/>
    <x v="2"/>
    <x v="25"/>
    <x v="2"/>
    <x v="21"/>
    <x v="2"/>
    <x v="29"/>
    <x v="2"/>
    <x v="38"/>
    <x v="1"/>
    <x v="9"/>
    <x v="0"/>
    <x v="0"/>
    <x v="7"/>
    <x v="84"/>
    <x v="113"/>
    <x v="115"/>
    <x v="0"/>
    <x v="12"/>
    <x v="109"/>
    <x v="0"/>
    <x v="0"/>
    <x v="36"/>
    <x v="2"/>
    <x v="55"/>
    <x v="0"/>
    <x v="22"/>
    <x v="26"/>
    <x v="48"/>
    <x v="64"/>
    <x v="122"/>
    <x v="15"/>
    <x v="91"/>
    <x v="1"/>
    <x v="56"/>
    <x v="0"/>
    <x v="28"/>
    <x v="153"/>
    <x v="13"/>
  </r>
  <r>
    <x v="19"/>
    <x v="54"/>
    <x v="0"/>
    <x v="4"/>
    <x v="13"/>
    <x v="166"/>
    <x v="98"/>
    <x v="12"/>
    <x v="125"/>
    <x v="173"/>
    <x v="151"/>
    <x v="24"/>
    <x v="0"/>
    <x v="129"/>
    <x v="54"/>
    <x v="21"/>
    <x v="8"/>
    <x v="5"/>
    <x v="3"/>
    <x v="2"/>
    <x v="1"/>
    <x v="1"/>
    <x v="1"/>
    <x v="2"/>
    <x v="2"/>
    <x v="16"/>
    <x v="1"/>
    <x v="6"/>
    <x v="2"/>
    <x v="21"/>
    <x v="2"/>
    <x v="33"/>
    <x v="2"/>
    <x v="35"/>
    <x v="0"/>
    <x v="0"/>
    <x v="7"/>
    <x v="74"/>
    <x v="91"/>
    <x v="124"/>
    <x v="0"/>
    <x v="55"/>
    <x v="0"/>
    <x v="0"/>
    <x v="0"/>
    <x v="36"/>
    <x v="0"/>
    <x v="60"/>
    <x v="0"/>
    <x v="22"/>
    <x v="22"/>
    <x v="40"/>
    <x v="55"/>
    <x v="45"/>
    <x v="28"/>
    <x v="35"/>
    <x v="16"/>
    <x v="110"/>
    <x v="28"/>
    <x v="67"/>
    <x v="58"/>
    <x v="14"/>
  </r>
  <r>
    <x v="160"/>
    <x v="63"/>
    <x v="0"/>
    <x v="4"/>
    <x v="22"/>
    <x v="91"/>
    <x v="120"/>
    <x v="163"/>
    <x v="126"/>
    <x v="108"/>
    <x v="137"/>
    <x v="76"/>
    <x v="1"/>
    <x v="76"/>
    <x v="54"/>
    <x v="21"/>
    <x v="8"/>
    <x v="5"/>
    <x v="3"/>
    <x v="2"/>
    <x v="0"/>
    <x v="0"/>
    <x v="0"/>
    <x v="0"/>
    <x v="2"/>
    <x v="18"/>
    <x v="2"/>
    <x v="22"/>
    <x v="2"/>
    <x v="30"/>
    <x v="2"/>
    <x v="42"/>
    <x v="1"/>
    <x v="12"/>
    <x v="0"/>
    <x v="0"/>
    <x v="7"/>
    <x v="86"/>
    <x v="110"/>
    <x v="133"/>
    <x v="0"/>
    <x v="37"/>
    <x v="123"/>
    <x v="0"/>
    <x v="0"/>
    <x v="36"/>
    <x v="0"/>
    <x v="60"/>
    <x v="0"/>
    <x v="22"/>
    <x v="24"/>
    <x v="40"/>
    <x v="59"/>
    <x v="21"/>
    <x v="15"/>
    <x v="10"/>
    <x v="15"/>
    <x v="17"/>
    <x v="0"/>
    <x v="163"/>
    <x v="112"/>
    <x v="12"/>
  </r>
  <r>
    <x v="49"/>
    <x v="73"/>
    <x v="0"/>
    <x v="4"/>
    <x v="12"/>
    <x v="34"/>
    <x v="183"/>
    <x v="161"/>
    <x v="127"/>
    <x v="136"/>
    <x v="115"/>
    <x v="150"/>
    <x v="0"/>
    <x v="12"/>
    <x v="54"/>
    <x v="21"/>
    <x v="8"/>
    <x v="5"/>
    <x v="3"/>
    <x v="2"/>
    <x v="0"/>
    <x v="0"/>
    <x v="0"/>
    <x v="0"/>
    <x v="2"/>
    <x v="17"/>
    <x v="2"/>
    <x v="20"/>
    <x v="1"/>
    <x v="5"/>
    <x v="2"/>
    <x v="36"/>
    <x v="2"/>
    <x v="36"/>
    <x v="0"/>
    <x v="0"/>
    <x v="7"/>
    <x v="76"/>
    <x v="107"/>
    <x v="97"/>
    <x v="0"/>
    <x v="0"/>
    <x v="72"/>
    <x v="0"/>
    <x v="0"/>
    <x v="36"/>
    <x v="1"/>
    <x v="2"/>
    <x v="0"/>
    <x v="22"/>
    <x v="22"/>
    <x v="40"/>
    <x v="55"/>
    <x v="36"/>
    <x v="18"/>
    <x v="39"/>
    <x v="18"/>
    <x v="84"/>
    <x v="0"/>
    <x v="15"/>
    <x v="71"/>
    <x v="9"/>
  </r>
  <r>
    <x v="193"/>
    <x v="84"/>
    <x v="0"/>
    <x v="4"/>
    <x v="21"/>
    <x v="49"/>
    <x v="121"/>
    <x v="68"/>
    <x v="131"/>
    <x v="137"/>
    <x v="58"/>
    <x v="62"/>
    <x v="1"/>
    <x v="89"/>
    <x v="42"/>
    <x v="21"/>
    <x v="8"/>
    <x v="5"/>
    <x v="3"/>
    <x v="2"/>
    <x v="0"/>
    <x v="0"/>
    <x v="1"/>
    <x v="0"/>
    <x v="2"/>
    <x v="22"/>
    <x v="2"/>
    <x v="29"/>
    <x v="1"/>
    <x v="8"/>
    <x v="3"/>
    <x v="50"/>
    <x v="3"/>
    <x v="56"/>
    <x v="0"/>
    <x v="0"/>
    <x v="9"/>
    <x v="114"/>
    <x v="158"/>
    <x v="152"/>
    <x v="11"/>
    <x v="57"/>
    <x v="168"/>
    <x v="0"/>
    <x v="1"/>
    <x v="36"/>
    <x v="0"/>
    <x v="60"/>
    <x v="0"/>
    <x v="22"/>
    <x v="38"/>
    <x v="52"/>
    <x v="80"/>
    <x v="81"/>
    <x v="18"/>
    <x v="141"/>
    <x v="34"/>
    <x v="110"/>
    <x v="28"/>
    <x v="144"/>
    <x v="44"/>
    <x v="20"/>
  </r>
  <r>
    <x v="141"/>
    <x v="95"/>
    <x v="0"/>
    <x v="4"/>
    <x v="10"/>
    <x v="185"/>
    <x v="13"/>
    <x v="54"/>
    <x v="7"/>
    <x v="76"/>
    <x v="14"/>
    <x v="180"/>
    <x v="0"/>
    <x v="129"/>
    <x v="54"/>
    <x v="21"/>
    <x v="8"/>
    <x v="5"/>
    <x v="3"/>
    <x v="2"/>
    <x v="0"/>
    <x v="0"/>
    <x v="0"/>
    <x v="0"/>
    <x v="0"/>
    <x v="0"/>
    <x v="2"/>
    <x v="22"/>
    <x v="2"/>
    <x v="29"/>
    <x v="1"/>
    <x v="13"/>
    <x v="1"/>
    <x v="13"/>
    <x v="0"/>
    <x v="0"/>
    <x v="4"/>
    <x v="41"/>
    <x v="79"/>
    <x v="53"/>
    <x v="0"/>
    <x v="0"/>
    <x v="114"/>
    <x v="0"/>
    <x v="0"/>
    <x v="36"/>
    <x v="0"/>
    <x v="60"/>
    <x v="0"/>
    <x v="22"/>
    <x v="19"/>
    <x v="20"/>
    <x v="36"/>
    <x v="112"/>
    <x v="14"/>
    <x v="103"/>
    <x v="12"/>
    <x v="93"/>
    <x v="10"/>
    <x v="179"/>
    <x v="138"/>
    <x v="12"/>
  </r>
  <r>
    <x v="0"/>
    <x v="106"/>
    <x v="0"/>
    <x v="4"/>
    <x v="18"/>
    <x v="95"/>
    <x v="14"/>
    <x v="76"/>
    <x v="25"/>
    <x v="141"/>
    <x v="103"/>
    <x v="8"/>
    <x v="1"/>
    <x v="81"/>
    <x v="35"/>
    <x v="21"/>
    <x v="8"/>
    <x v="5"/>
    <x v="3"/>
    <x v="2"/>
    <x v="0"/>
    <x v="0"/>
    <x v="0"/>
    <x v="0"/>
    <x v="0"/>
    <x v="0"/>
    <x v="1"/>
    <x v="6"/>
    <x v="2"/>
    <x v="18"/>
    <x v="2"/>
    <x v="22"/>
    <x v="1"/>
    <x v="11"/>
    <x v="0"/>
    <x v="0"/>
    <x v="4"/>
    <x v="22"/>
    <x v="44"/>
    <x v="68"/>
    <x v="0"/>
    <x v="0"/>
    <x v="20"/>
    <x v="0"/>
    <x v="0"/>
    <x v="36"/>
    <x v="0"/>
    <x v="60"/>
    <x v="0"/>
    <x v="22"/>
    <x v="16"/>
    <x v="27"/>
    <x v="37"/>
    <x v="78"/>
    <x v="13"/>
    <x v="61"/>
    <x v="1"/>
    <x v="110"/>
    <x v="28"/>
    <x v="40"/>
    <x v="93"/>
    <x v="13"/>
  </r>
  <r>
    <x v="105"/>
    <x v="108"/>
    <x v="0"/>
    <x v="7"/>
    <x v="6"/>
    <x v="138"/>
    <x v="187"/>
    <x v="92"/>
    <x v="8"/>
    <x v="47"/>
    <x v="119"/>
    <x v="53"/>
    <x v="1"/>
    <x v="59"/>
    <x v="9"/>
    <x v="21"/>
    <x v="8"/>
    <x v="5"/>
    <x v="3"/>
    <x v="2"/>
    <x v="2"/>
    <x v="0"/>
    <x v="1"/>
    <x v="0"/>
    <x v="4"/>
    <x v="38"/>
    <x v="3"/>
    <x v="46"/>
    <x v="4"/>
    <x v="52"/>
    <x v="4"/>
    <x v="57"/>
    <x v="3"/>
    <x v="54"/>
    <x v="0"/>
    <x v="0"/>
    <x v="15"/>
    <x v="142"/>
    <x v="187"/>
    <x v="186"/>
    <x v="40"/>
    <x v="17"/>
    <x v="153"/>
    <x v="17"/>
    <x v="1"/>
    <x v="2"/>
    <x v="1"/>
    <x v="1"/>
    <x v="0"/>
    <x v="22"/>
    <x v="57"/>
    <x v="69"/>
    <x v="99"/>
    <x v="0"/>
    <x v="2"/>
    <x v="1"/>
    <x v="26"/>
    <x v="9"/>
    <x v="20"/>
    <x v="10"/>
    <x v="5"/>
    <x v="16"/>
  </r>
  <r>
    <x v="64"/>
    <x v="109"/>
    <x v="0"/>
    <x v="4"/>
    <x v="11"/>
    <x v="24"/>
    <x v="102"/>
    <x v="167"/>
    <x v="134"/>
    <x v="109"/>
    <x v="82"/>
    <x v="116"/>
    <x v="0"/>
    <x v="129"/>
    <x v="54"/>
    <x v="21"/>
    <x v="8"/>
    <x v="5"/>
    <x v="3"/>
    <x v="2"/>
    <x v="0"/>
    <x v="0"/>
    <x v="0"/>
    <x v="0"/>
    <x v="1"/>
    <x v="5"/>
    <x v="2"/>
    <x v="24"/>
    <x v="2"/>
    <x v="32"/>
    <x v="2"/>
    <x v="29"/>
    <x v="2"/>
    <x v="37"/>
    <x v="0"/>
    <x v="0"/>
    <x v="7"/>
    <x v="80"/>
    <x v="104"/>
    <x v="64"/>
    <x v="0"/>
    <x v="0"/>
    <x v="70"/>
    <x v="0"/>
    <x v="0"/>
    <x v="36"/>
    <x v="0"/>
    <x v="60"/>
    <x v="0"/>
    <x v="22"/>
    <x v="26"/>
    <x v="42"/>
    <x v="61"/>
    <x v="10"/>
    <x v="19"/>
    <x v="9"/>
    <x v="19"/>
    <x v="11"/>
    <x v="2"/>
    <x v="71"/>
    <x v="8"/>
    <x v="16"/>
  </r>
  <r>
    <x v="72"/>
    <x v="110"/>
    <x v="0"/>
    <x v="4"/>
    <x v="4"/>
    <x v="142"/>
    <x v="29"/>
    <x v="56"/>
    <x v="135"/>
    <x v="26"/>
    <x v="118"/>
    <x v="123"/>
    <x v="2"/>
    <x v="129"/>
    <x v="54"/>
    <x v="21"/>
    <x v="8"/>
    <x v="5"/>
    <x v="3"/>
    <x v="2"/>
    <x v="0"/>
    <x v="0"/>
    <x v="0"/>
    <x v="0"/>
    <x v="1"/>
    <x v="6"/>
    <x v="2"/>
    <x v="22"/>
    <x v="2"/>
    <x v="20"/>
    <x v="1"/>
    <x v="13"/>
    <x v="1"/>
    <x v="17"/>
    <x v="0"/>
    <x v="0"/>
    <x v="5"/>
    <x v="51"/>
    <x v="67"/>
    <x v="56"/>
    <x v="0"/>
    <x v="0"/>
    <x v="124"/>
    <x v="0"/>
    <x v="0"/>
    <x v="36"/>
    <x v="1"/>
    <x v="7"/>
    <x v="0"/>
    <x v="22"/>
    <x v="16"/>
    <x v="22"/>
    <x v="33"/>
    <x v="129"/>
    <x v="14"/>
    <x v="124"/>
    <x v="12"/>
    <x v="20"/>
    <x v="1"/>
    <x v="94"/>
    <x v="116"/>
    <x v="16"/>
  </r>
  <r>
    <x v="54"/>
    <x v="111"/>
    <x v="0"/>
    <x v="4"/>
    <x v="13"/>
    <x v="89"/>
    <x v="122"/>
    <x v="140"/>
    <x v="136"/>
    <x v="173"/>
    <x v="69"/>
    <x v="158"/>
    <x v="0"/>
    <x v="19"/>
    <x v="54"/>
    <x v="21"/>
    <x v="8"/>
    <x v="5"/>
    <x v="3"/>
    <x v="2"/>
    <x v="0"/>
    <x v="0"/>
    <x v="0"/>
    <x v="0"/>
    <x v="2"/>
    <x v="18"/>
    <x v="2"/>
    <x v="22"/>
    <x v="2"/>
    <x v="28"/>
    <x v="2"/>
    <x v="32"/>
    <x v="2"/>
    <x v="38"/>
    <x v="0"/>
    <x v="0"/>
    <x v="8"/>
    <x v="96"/>
    <x v="139"/>
    <x v="144"/>
    <x v="0"/>
    <x v="0"/>
    <x v="51"/>
    <x v="0"/>
    <x v="0"/>
    <x v="36"/>
    <x v="0"/>
    <x v="60"/>
    <x v="0"/>
    <x v="22"/>
    <x v="30"/>
    <x v="47"/>
    <x v="67"/>
    <x v="149"/>
    <x v="29"/>
    <x v="18"/>
    <x v="28"/>
    <x v="58"/>
    <x v="5"/>
    <x v="38"/>
    <x v="55"/>
    <x v="14"/>
  </r>
  <r>
    <x v="121"/>
    <x v="112"/>
    <x v="0"/>
    <x v="0"/>
    <x v="0"/>
    <x v="154"/>
    <x v="9"/>
    <x v="178"/>
    <x v="137"/>
    <x v="48"/>
    <x v="120"/>
    <x v="58"/>
    <x v="2"/>
    <x v="25"/>
    <x v="12"/>
    <x v="3"/>
    <x v="0"/>
    <x v="0"/>
    <x v="3"/>
    <x v="2"/>
    <x v="1"/>
    <x v="0"/>
    <x v="0"/>
    <x v="0"/>
    <x v="4"/>
    <x v="35"/>
    <x v="3"/>
    <x v="37"/>
    <x v="2"/>
    <x v="28"/>
    <x v="2"/>
    <x v="38"/>
    <x v="3"/>
    <x v="51"/>
    <x v="0"/>
    <x v="0"/>
    <x v="12"/>
    <x v="133"/>
    <x v="163"/>
    <x v="173"/>
    <x v="14"/>
    <x v="0"/>
    <x v="118"/>
    <x v="0"/>
    <x v="0"/>
    <x v="36"/>
    <x v="1"/>
    <x v="2"/>
    <x v="0"/>
    <x v="22"/>
    <x v="39"/>
    <x v="61"/>
    <x v="90"/>
    <x v="135"/>
    <x v="22"/>
    <x v="127"/>
    <x v="5"/>
    <x v="63"/>
    <x v="2"/>
    <x v="113"/>
    <x v="64"/>
    <x v="8"/>
  </r>
  <r>
    <x v="131"/>
    <x v="113"/>
    <x v="0"/>
    <x v="4"/>
    <x v="12"/>
    <x v="76"/>
    <x v="105"/>
    <x v="91"/>
    <x v="90"/>
    <x v="153"/>
    <x v="43"/>
    <x v="163"/>
    <x v="0"/>
    <x v="73"/>
    <x v="54"/>
    <x v="21"/>
    <x v="8"/>
    <x v="5"/>
    <x v="3"/>
    <x v="2"/>
    <x v="1"/>
    <x v="0"/>
    <x v="0"/>
    <x v="0"/>
    <x v="2"/>
    <x v="20"/>
    <x v="1"/>
    <x v="14"/>
    <x v="1"/>
    <x v="11"/>
    <x v="1"/>
    <x v="13"/>
    <x v="1"/>
    <x v="15"/>
    <x v="0"/>
    <x v="0"/>
    <x v="4"/>
    <x v="47"/>
    <x v="35"/>
    <x v="31"/>
    <x v="0"/>
    <x v="0"/>
    <x v="46"/>
    <x v="0"/>
    <x v="0"/>
    <x v="36"/>
    <x v="0"/>
    <x v="60"/>
    <x v="0"/>
    <x v="22"/>
    <x v="8"/>
    <x v="33"/>
    <x v="34"/>
    <x v="50"/>
    <x v="10"/>
    <x v="99"/>
    <x v="10"/>
    <x v="110"/>
    <x v="28"/>
    <x v="76"/>
    <x v="159"/>
    <x v="12"/>
  </r>
  <r>
    <x v="61"/>
    <x v="114"/>
    <x v="0"/>
    <x v="4"/>
    <x v="13"/>
    <x v="111"/>
    <x v="72"/>
    <x v="192"/>
    <x v="92"/>
    <x v="110"/>
    <x v="36"/>
    <x v="173"/>
    <x v="7"/>
    <x v="70"/>
    <x v="32"/>
    <x v="21"/>
    <x v="8"/>
    <x v="5"/>
    <x v="3"/>
    <x v="2"/>
    <x v="1"/>
    <x v="0"/>
    <x v="1"/>
    <x v="1"/>
    <x v="2"/>
    <x v="16"/>
    <x v="2"/>
    <x v="22"/>
    <x v="1"/>
    <x v="5"/>
    <x v="1"/>
    <x v="12"/>
    <x v="2"/>
    <x v="32"/>
    <x v="0"/>
    <x v="0"/>
    <x v="6"/>
    <x v="56"/>
    <x v="74"/>
    <x v="82"/>
    <x v="0"/>
    <x v="0"/>
    <x v="1"/>
    <x v="0"/>
    <x v="0"/>
    <x v="36"/>
    <x v="0"/>
    <x v="60"/>
    <x v="0"/>
    <x v="22"/>
    <x v="17"/>
    <x v="31"/>
    <x v="40"/>
    <x v="89"/>
    <x v="7"/>
    <x v="25"/>
    <x v="2"/>
    <x v="43"/>
    <x v="1"/>
    <x v="108"/>
    <x v="133"/>
    <x v="16"/>
  </r>
  <r>
    <x v="186"/>
    <x v="115"/>
    <x v="0"/>
    <x v="5"/>
    <x v="12"/>
    <x v="37"/>
    <x v="107"/>
    <x v="114"/>
    <x v="138"/>
    <x v="142"/>
    <x v="86"/>
    <x v="36"/>
    <x v="0"/>
    <x v="110"/>
    <x v="54"/>
    <x v="21"/>
    <x v="8"/>
    <x v="5"/>
    <x v="3"/>
    <x v="2"/>
    <x v="0"/>
    <x v="0"/>
    <x v="0"/>
    <x v="0"/>
    <x v="2"/>
    <x v="26"/>
    <x v="2"/>
    <x v="31"/>
    <x v="2"/>
    <x v="30"/>
    <x v="2"/>
    <x v="41"/>
    <x v="2"/>
    <x v="35"/>
    <x v="0"/>
    <x v="0"/>
    <x v="8"/>
    <x v="113"/>
    <x v="144"/>
    <x v="151"/>
    <x v="0"/>
    <x v="0"/>
    <x v="131"/>
    <x v="0"/>
    <x v="0"/>
    <x v="36"/>
    <x v="0"/>
    <x v="60"/>
    <x v="0"/>
    <x v="22"/>
    <x v="31"/>
    <x v="50"/>
    <x v="72"/>
    <x v="92"/>
    <x v="20"/>
    <x v="114"/>
    <x v="1"/>
    <x v="64"/>
    <x v="0"/>
    <x v="42"/>
    <x v="45"/>
    <x v="14"/>
  </r>
  <r>
    <x v="120"/>
    <x v="116"/>
    <x v="0"/>
    <x v="4"/>
    <x v="4"/>
    <x v="176"/>
    <x v="108"/>
    <x v="6"/>
    <x v="75"/>
    <x v="160"/>
    <x v="60"/>
    <x v="100"/>
    <x v="0"/>
    <x v="129"/>
    <x v="54"/>
    <x v="21"/>
    <x v="8"/>
    <x v="5"/>
    <x v="3"/>
    <x v="2"/>
    <x v="0"/>
    <x v="0"/>
    <x v="0"/>
    <x v="0"/>
    <x v="2"/>
    <x v="19"/>
    <x v="2"/>
    <x v="30"/>
    <x v="2"/>
    <x v="29"/>
    <x v="2"/>
    <x v="39"/>
    <x v="3"/>
    <x v="60"/>
    <x v="0"/>
    <x v="0"/>
    <x v="9"/>
    <x v="119"/>
    <x v="166"/>
    <x v="166"/>
    <x v="25"/>
    <x v="0"/>
    <x v="171"/>
    <x v="0"/>
    <x v="0"/>
    <x v="36"/>
    <x v="1"/>
    <x v="43"/>
    <x v="2"/>
    <x v="7"/>
    <x v="34"/>
    <x v="50"/>
    <x v="75"/>
    <x v="35"/>
    <x v="20"/>
    <x v="63"/>
    <x v="1"/>
    <x v="22"/>
    <x v="18"/>
    <x v="8"/>
    <x v="25"/>
    <x v="11"/>
  </r>
  <r>
    <x v="147"/>
    <x v="118"/>
    <x v="0"/>
    <x v="4"/>
    <x v="4"/>
    <x v="85"/>
    <x v="109"/>
    <x v="150"/>
    <x v="110"/>
    <x v="27"/>
    <x v="160"/>
    <x v="22"/>
    <x v="0"/>
    <x v="129"/>
    <x v="54"/>
    <x v="21"/>
    <x v="8"/>
    <x v="5"/>
    <x v="3"/>
    <x v="2"/>
    <x v="2"/>
    <x v="0"/>
    <x v="0"/>
    <x v="0"/>
    <x v="1"/>
    <x v="1"/>
    <x v="2"/>
    <x v="15"/>
    <x v="1"/>
    <x v="5"/>
    <x v="2"/>
    <x v="31"/>
    <x v="1"/>
    <x v="7"/>
    <x v="0"/>
    <x v="0"/>
    <x v="5"/>
    <x v="28"/>
    <x v="61"/>
    <x v="34"/>
    <x v="0"/>
    <x v="0"/>
    <x v="140"/>
    <x v="16"/>
    <x v="1"/>
    <x v="36"/>
    <x v="0"/>
    <x v="60"/>
    <x v="0"/>
    <x v="22"/>
    <x v="17"/>
    <x v="28"/>
    <x v="38"/>
    <x v="134"/>
    <x v="14"/>
    <x v="88"/>
    <x v="5"/>
    <x v="110"/>
    <x v="28"/>
    <x v="102"/>
    <x v="104"/>
    <x v="14"/>
  </r>
  <r>
    <x v="45"/>
    <x v="119"/>
    <x v="0"/>
    <x v="4"/>
    <x v="11"/>
    <x v="23"/>
    <x v="103"/>
    <x v="168"/>
    <x v="139"/>
    <x v="144"/>
    <x v="66"/>
    <x v="120"/>
    <x v="0"/>
    <x v="129"/>
    <x v="54"/>
    <x v="21"/>
    <x v="8"/>
    <x v="5"/>
    <x v="3"/>
    <x v="2"/>
    <x v="0"/>
    <x v="0"/>
    <x v="0"/>
    <x v="0"/>
    <x v="1"/>
    <x v="2"/>
    <x v="1"/>
    <x v="10"/>
    <x v="2"/>
    <x v="23"/>
    <x v="2"/>
    <x v="23"/>
    <x v="2"/>
    <x v="19"/>
    <x v="0"/>
    <x v="0"/>
    <x v="6"/>
    <x v="47"/>
    <x v="99"/>
    <x v="39"/>
    <x v="0"/>
    <x v="0"/>
    <x v="79"/>
    <x v="0"/>
    <x v="0"/>
    <x v="36"/>
    <x v="0"/>
    <x v="60"/>
    <x v="0"/>
    <x v="22"/>
    <x v="25"/>
    <x v="41"/>
    <x v="60"/>
    <x v="58"/>
    <x v="16"/>
    <x v="71"/>
    <x v="1"/>
    <x v="21"/>
    <x v="10"/>
    <x v="112"/>
    <x v="97"/>
    <x v="15"/>
  </r>
  <r>
    <x v="46"/>
    <x v="120"/>
    <x v="0"/>
    <x v="4"/>
    <x v="11"/>
    <x v="25"/>
    <x v="123"/>
    <x v="31"/>
    <x v="140"/>
    <x v="77"/>
    <x v="174"/>
    <x v="4"/>
    <x v="1"/>
    <x v="10"/>
    <x v="54"/>
    <x v="21"/>
    <x v="8"/>
    <x v="5"/>
    <x v="3"/>
    <x v="2"/>
    <x v="0"/>
    <x v="0"/>
    <x v="0"/>
    <x v="0"/>
    <x v="2"/>
    <x v="17"/>
    <x v="2"/>
    <x v="20"/>
    <x v="1"/>
    <x v="7"/>
    <x v="2"/>
    <x v="29"/>
    <x v="1"/>
    <x v="12"/>
    <x v="0"/>
    <x v="0"/>
    <x v="6"/>
    <x v="58"/>
    <x v="77"/>
    <x v="78"/>
    <x v="0"/>
    <x v="0"/>
    <x v="62"/>
    <x v="0"/>
    <x v="0"/>
    <x v="36"/>
    <x v="1"/>
    <x v="9"/>
    <x v="0"/>
    <x v="22"/>
    <x v="19"/>
    <x v="32"/>
    <x v="43"/>
    <x v="30"/>
    <x v="14"/>
    <x v="109"/>
    <x v="2"/>
    <x v="110"/>
    <x v="28"/>
    <x v="66"/>
    <x v="67"/>
    <x v="12"/>
  </r>
  <r>
    <x v="123"/>
    <x v="121"/>
    <x v="0"/>
    <x v="4"/>
    <x v="16"/>
    <x v="47"/>
    <x v="116"/>
    <x v="131"/>
    <x v="141"/>
    <x v="161"/>
    <x v="126"/>
    <x v="180"/>
    <x v="0"/>
    <x v="45"/>
    <x v="54"/>
    <x v="21"/>
    <x v="8"/>
    <x v="5"/>
    <x v="3"/>
    <x v="2"/>
    <x v="0"/>
    <x v="0"/>
    <x v="0"/>
    <x v="0"/>
    <x v="2"/>
    <x v="16"/>
    <x v="1"/>
    <x v="6"/>
    <x v="2"/>
    <x v="34"/>
    <x v="2"/>
    <x v="40"/>
    <x v="2"/>
    <x v="29"/>
    <x v="0"/>
    <x v="0"/>
    <x v="7"/>
    <x v="82"/>
    <x v="138"/>
    <x v="143"/>
    <x v="0"/>
    <x v="0"/>
    <x v="137"/>
    <x v="0"/>
    <x v="0"/>
    <x v="36"/>
    <x v="0"/>
    <x v="60"/>
    <x v="0"/>
    <x v="22"/>
    <x v="26"/>
    <x v="49"/>
    <x v="65"/>
    <x v="156"/>
    <x v="33"/>
    <x v="141"/>
    <x v="34"/>
    <x v="110"/>
    <x v="28"/>
    <x v="111"/>
    <x v="24"/>
    <x v="9"/>
  </r>
  <r>
    <x v="88"/>
    <x v="122"/>
    <x v="0"/>
    <x v="4"/>
    <x v="4"/>
    <x v="107"/>
    <x v="124"/>
    <x v="52"/>
    <x v="142"/>
    <x v="49"/>
    <x v="183"/>
    <x v="39"/>
    <x v="0"/>
    <x v="129"/>
    <x v="54"/>
    <x v="21"/>
    <x v="8"/>
    <x v="5"/>
    <x v="3"/>
    <x v="2"/>
    <x v="0"/>
    <x v="0"/>
    <x v="0"/>
    <x v="0"/>
    <x v="2"/>
    <x v="20"/>
    <x v="2"/>
    <x v="22"/>
    <x v="2"/>
    <x v="31"/>
    <x v="2"/>
    <x v="41"/>
    <x v="2"/>
    <x v="42"/>
    <x v="0"/>
    <x v="0"/>
    <x v="8"/>
    <x v="105"/>
    <x v="126"/>
    <x v="73"/>
    <x v="0"/>
    <x v="29"/>
    <x v="155"/>
    <x v="0"/>
    <x v="0"/>
    <x v="36"/>
    <x v="1"/>
    <x v="60"/>
    <x v="0"/>
    <x v="22"/>
    <x v="29"/>
    <x v="50"/>
    <x v="69"/>
    <x v="102"/>
    <x v="5"/>
    <x v="125"/>
    <x v="21"/>
    <x v="53"/>
    <x v="16"/>
    <x v="75"/>
    <x v="108"/>
    <x v="18"/>
  </r>
  <r>
    <x v="94"/>
    <x v="123"/>
    <x v="0"/>
    <x v="4"/>
    <x v="11"/>
    <x v="115"/>
    <x v="130"/>
    <x v="129"/>
    <x v="76"/>
    <x v="50"/>
    <x v="144"/>
    <x v="147"/>
    <x v="0"/>
    <x v="1"/>
    <x v="54"/>
    <x v="21"/>
    <x v="8"/>
    <x v="5"/>
    <x v="3"/>
    <x v="2"/>
    <x v="0"/>
    <x v="0"/>
    <x v="0"/>
    <x v="1"/>
    <x v="2"/>
    <x v="18"/>
    <x v="2"/>
    <x v="28"/>
    <x v="2"/>
    <x v="25"/>
    <x v="2"/>
    <x v="25"/>
    <x v="2"/>
    <x v="27"/>
    <x v="3"/>
    <x v="18"/>
    <x v="8"/>
    <x v="85"/>
    <x v="114"/>
    <x v="122"/>
    <x v="0"/>
    <x v="0"/>
    <x v="19"/>
    <x v="0"/>
    <x v="0"/>
    <x v="36"/>
    <x v="1"/>
    <x v="26"/>
    <x v="0"/>
    <x v="22"/>
    <x v="26"/>
    <x v="42"/>
    <x v="61"/>
    <x v="69"/>
    <x v="15"/>
    <x v="141"/>
    <x v="34"/>
    <x v="110"/>
    <x v="28"/>
    <x v="153"/>
    <x v="70"/>
    <x v="7"/>
  </r>
  <r>
    <x v="8"/>
    <x v="124"/>
    <x v="0"/>
    <x v="4"/>
    <x v="6"/>
    <x v="134"/>
    <x v="125"/>
    <x v="93"/>
    <x v="143"/>
    <x v="81"/>
    <x v="26"/>
    <x v="30"/>
    <x v="0"/>
    <x v="129"/>
    <x v="54"/>
    <x v="21"/>
    <x v="8"/>
    <x v="5"/>
    <x v="3"/>
    <x v="2"/>
    <x v="0"/>
    <x v="0"/>
    <x v="0"/>
    <x v="0"/>
    <x v="3"/>
    <x v="4"/>
    <x v="1"/>
    <x v="9"/>
    <x v="2"/>
    <x v="23"/>
    <x v="2"/>
    <x v="24"/>
    <x v="2"/>
    <x v="28"/>
    <x v="0"/>
    <x v="0"/>
    <x v="8"/>
    <x v="54"/>
    <x v="106"/>
    <x v="119"/>
    <x v="0"/>
    <x v="0"/>
    <x v="26"/>
    <x v="30"/>
    <x v="0"/>
    <x v="36"/>
    <x v="0"/>
    <x v="60"/>
    <x v="0"/>
    <x v="22"/>
    <x v="17"/>
    <x v="32"/>
    <x v="41"/>
    <x v="156"/>
    <x v="33"/>
    <x v="141"/>
    <x v="34"/>
    <x v="110"/>
    <x v="28"/>
    <x v="161"/>
    <x v="16"/>
    <x v="13"/>
  </r>
  <r>
    <x v="33"/>
    <x v="125"/>
    <x v="0"/>
    <x v="4"/>
    <x v="1"/>
    <x v="66"/>
    <x v="18"/>
    <x v="3"/>
    <x v="77"/>
    <x v="51"/>
    <x v="44"/>
    <x v="72"/>
    <x v="0"/>
    <x v="129"/>
    <x v="54"/>
    <x v="21"/>
    <x v="8"/>
    <x v="5"/>
    <x v="3"/>
    <x v="2"/>
    <x v="0"/>
    <x v="0"/>
    <x v="0"/>
    <x v="0"/>
    <x v="2"/>
    <x v="24"/>
    <x v="3"/>
    <x v="40"/>
    <x v="2"/>
    <x v="32"/>
    <x v="2"/>
    <x v="37"/>
    <x v="2"/>
    <x v="45"/>
    <x v="0"/>
    <x v="0"/>
    <x v="9"/>
    <x v="119"/>
    <x v="120"/>
    <x v="109"/>
    <x v="31"/>
    <x v="0"/>
    <x v="170"/>
    <x v="9"/>
    <x v="0"/>
    <x v="27"/>
    <x v="6"/>
    <x v="28"/>
    <x v="3"/>
    <x v="6"/>
    <x v="44"/>
    <x v="64"/>
    <x v="93"/>
    <x v="24"/>
    <x v="17"/>
    <x v="107"/>
    <x v="24"/>
    <x v="100"/>
    <x v="1"/>
    <x v="3"/>
    <x v="88"/>
    <x v="9"/>
  </r>
  <r>
    <x v="175"/>
    <x v="126"/>
    <x v="0"/>
    <x v="4"/>
    <x v="13"/>
    <x v="165"/>
    <x v="131"/>
    <x v="13"/>
    <x v="78"/>
    <x v="173"/>
    <x v="146"/>
    <x v="71"/>
    <x v="0"/>
    <x v="24"/>
    <x v="54"/>
    <x v="21"/>
    <x v="8"/>
    <x v="5"/>
    <x v="3"/>
    <x v="2"/>
    <x v="0"/>
    <x v="0"/>
    <x v="0"/>
    <x v="0"/>
    <x v="2"/>
    <x v="17"/>
    <x v="2"/>
    <x v="21"/>
    <x v="2"/>
    <x v="30"/>
    <x v="2"/>
    <x v="35"/>
    <x v="2"/>
    <x v="39"/>
    <x v="0"/>
    <x v="0"/>
    <x v="8"/>
    <x v="98"/>
    <x v="129"/>
    <x v="155"/>
    <x v="0"/>
    <x v="0"/>
    <x v="59"/>
    <x v="0"/>
    <x v="0"/>
    <x v="36"/>
    <x v="0"/>
    <x v="60"/>
    <x v="1"/>
    <x v="2"/>
    <x v="27"/>
    <x v="49"/>
    <x v="67"/>
    <x v="104"/>
    <x v="12"/>
    <x v="73"/>
    <x v="1"/>
    <x v="110"/>
    <x v="28"/>
    <x v="120"/>
    <x v="106"/>
    <x v="13"/>
  </r>
  <r>
    <x v="153"/>
    <x v="127"/>
    <x v="0"/>
    <x v="4"/>
    <x v="16"/>
    <x v="45"/>
    <x v="177"/>
    <x v="84"/>
    <x v="117"/>
    <x v="125"/>
    <x v="141"/>
    <x v="59"/>
    <x v="0"/>
    <x v="129"/>
    <x v="54"/>
    <x v="21"/>
    <x v="8"/>
    <x v="5"/>
    <x v="3"/>
    <x v="2"/>
    <x v="0"/>
    <x v="1"/>
    <x v="0"/>
    <x v="0"/>
    <x v="2"/>
    <x v="23"/>
    <x v="3"/>
    <x v="43"/>
    <x v="2"/>
    <x v="32"/>
    <x v="2"/>
    <x v="42"/>
    <x v="4"/>
    <x v="43"/>
    <x v="0"/>
    <x v="0"/>
    <x v="11"/>
    <x v="121"/>
    <x v="171"/>
    <x v="164"/>
    <x v="0"/>
    <x v="0"/>
    <x v="145"/>
    <x v="0"/>
    <x v="0"/>
    <x v="36"/>
    <x v="0"/>
    <x v="60"/>
    <x v="0"/>
    <x v="22"/>
    <x v="39"/>
    <x v="57"/>
    <x v="86"/>
    <x v="156"/>
    <x v="33"/>
    <x v="141"/>
    <x v="34"/>
    <x v="110"/>
    <x v="28"/>
    <x v="100"/>
    <x v="121"/>
    <x v="13"/>
  </r>
  <r>
    <x v="113"/>
    <x v="129"/>
    <x v="0"/>
    <x v="19"/>
    <x v="23"/>
    <x v="50"/>
    <x v="19"/>
    <x v="48"/>
    <x v="10"/>
    <x v="128"/>
    <x v="28"/>
    <x v="57"/>
    <x v="0"/>
    <x v="104"/>
    <x v="54"/>
    <x v="21"/>
    <x v="8"/>
    <x v="5"/>
    <x v="3"/>
    <x v="2"/>
    <x v="0"/>
    <x v="0"/>
    <x v="0"/>
    <x v="0"/>
    <x v="0"/>
    <x v="0"/>
    <x v="1"/>
    <x v="8"/>
    <x v="1"/>
    <x v="11"/>
    <x v="1"/>
    <x v="17"/>
    <x v="1"/>
    <x v="19"/>
    <x v="0"/>
    <x v="0"/>
    <x v="2"/>
    <x v="19"/>
    <x v="42"/>
    <x v="33"/>
    <x v="18"/>
    <x v="0"/>
    <x v="22"/>
    <x v="0"/>
    <x v="0"/>
    <x v="36"/>
    <x v="2"/>
    <x v="15"/>
    <x v="0"/>
    <x v="22"/>
    <x v="7"/>
    <x v="10"/>
    <x v="15"/>
    <x v="83"/>
    <x v="2"/>
    <x v="69"/>
    <x v="10"/>
    <x v="97"/>
    <x v="0"/>
    <x v="117"/>
    <x v="152"/>
    <x v="14"/>
  </r>
  <r>
    <x v="192"/>
    <x v="130"/>
    <x v="0"/>
    <x v="16"/>
    <x v="1"/>
    <x v="187"/>
    <x v="185"/>
    <x v="189"/>
    <x v="45"/>
    <x v="17"/>
    <x v="34"/>
    <x v="170"/>
    <x v="0"/>
    <x v="129"/>
    <x v="54"/>
    <x v="21"/>
    <x v="8"/>
    <x v="5"/>
    <x v="3"/>
    <x v="2"/>
    <x v="0"/>
    <x v="0"/>
    <x v="0"/>
    <x v="0"/>
    <x v="0"/>
    <x v="0"/>
    <x v="1"/>
    <x v="5"/>
    <x v="0"/>
    <x v="0"/>
    <x v="1"/>
    <x v="3"/>
    <x v="0"/>
    <x v="0"/>
    <x v="0"/>
    <x v="0"/>
    <x v="0"/>
    <x v="0"/>
    <x v="5"/>
    <x v="4"/>
    <x v="0"/>
    <x v="0"/>
    <x v="0"/>
    <x v="0"/>
    <x v="0"/>
    <x v="36"/>
    <x v="0"/>
    <x v="60"/>
    <x v="0"/>
    <x v="22"/>
    <x v="60"/>
    <x v="71"/>
    <x v="0"/>
    <x v="156"/>
    <x v="33"/>
    <x v="141"/>
    <x v="34"/>
    <x v="110"/>
    <x v="28"/>
    <x v="186"/>
    <x v="186"/>
    <x v="20"/>
  </r>
  <r>
    <x v="6"/>
    <x v="131"/>
    <x v="0"/>
    <x v="4"/>
    <x v="2"/>
    <x v="110"/>
    <x v="133"/>
    <x v="117"/>
    <x v="46"/>
    <x v="53"/>
    <x v="42"/>
    <x v="180"/>
    <x v="0"/>
    <x v="129"/>
    <x v="54"/>
    <x v="21"/>
    <x v="8"/>
    <x v="5"/>
    <x v="3"/>
    <x v="2"/>
    <x v="2"/>
    <x v="0"/>
    <x v="0"/>
    <x v="0"/>
    <x v="1"/>
    <x v="5"/>
    <x v="2"/>
    <x v="21"/>
    <x v="1"/>
    <x v="5"/>
    <x v="2"/>
    <x v="26"/>
    <x v="2"/>
    <x v="30"/>
    <x v="2"/>
    <x v="15"/>
    <x v="8"/>
    <x v="82"/>
    <x v="111"/>
    <x v="117"/>
    <x v="0"/>
    <x v="0"/>
    <x v="28"/>
    <x v="0"/>
    <x v="0"/>
    <x v="36"/>
    <x v="0"/>
    <x v="60"/>
    <x v="0"/>
    <x v="22"/>
    <x v="33"/>
    <x v="33"/>
    <x v="63"/>
    <x v="140"/>
    <x v="1"/>
    <x v="133"/>
    <x v="1"/>
    <x v="86"/>
    <x v="0"/>
    <x v="93"/>
    <x v="47"/>
    <x v="13"/>
  </r>
  <r>
    <x v="95"/>
    <x v="132"/>
    <x v="0"/>
    <x v="4"/>
    <x v="23"/>
    <x v="114"/>
    <x v="134"/>
    <x v="50"/>
    <x v="183"/>
    <x v="54"/>
    <x v="189"/>
    <x v="144"/>
    <x v="0"/>
    <x v="129"/>
    <x v="54"/>
    <x v="21"/>
    <x v="8"/>
    <x v="5"/>
    <x v="3"/>
    <x v="2"/>
    <x v="0"/>
    <x v="0"/>
    <x v="0"/>
    <x v="0"/>
    <x v="1"/>
    <x v="6"/>
    <x v="2"/>
    <x v="25"/>
    <x v="2"/>
    <x v="31"/>
    <x v="2"/>
    <x v="38"/>
    <x v="2"/>
    <x v="42"/>
    <x v="0"/>
    <x v="0"/>
    <x v="7"/>
    <x v="92"/>
    <x v="155"/>
    <x v="140"/>
    <x v="0"/>
    <x v="0"/>
    <x v="112"/>
    <x v="0"/>
    <x v="0"/>
    <x v="36"/>
    <x v="0"/>
    <x v="60"/>
    <x v="0"/>
    <x v="22"/>
    <x v="31"/>
    <x v="50"/>
    <x v="72"/>
    <x v="52"/>
    <x v="19"/>
    <x v="117"/>
    <x v="19"/>
    <x v="35"/>
    <x v="17"/>
    <x v="154"/>
    <x v="166"/>
    <x v="21"/>
  </r>
  <r>
    <x v="40"/>
    <x v="133"/>
    <x v="0"/>
    <x v="4"/>
    <x v="9"/>
    <x v="52"/>
    <x v="53"/>
    <x v="19"/>
    <x v="91"/>
    <x v="78"/>
    <x v="87"/>
    <x v="78"/>
    <x v="7"/>
    <x v="129"/>
    <x v="54"/>
    <x v="21"/>
    <x v="8"/>
    <x v="5"/>
    <x v="3"/>
    <x v="2"/>
    <x v="0"/>
    <x v="0"/>
    <x v="0"/>
    <x v="0"/>
    <x v="1"/>
    <x v="7"/>
    <x v="1"/>
    <x v="10"/>
    <x v="1"/>
    <x v="11"/>
    <x v="2"/>
    <x v="22"/>
    <x v="1"/>
    <x v="13"/>
    <x v="0"/>
    <x v="0"/>
    <x v="4"/>
    <x v="36"/>
    <x v="21"/>
    <x v="13"/>
    <x v="0"/>
    <x v="0"/>
    <x v="0"/>
    <x v="0"/>
    <x v="0"/>
    <x v="36"/>
    <x v="0"/>
    <x v="60"/>
    <x v="4"/>
    <x v="22"/>
    <x v="13"/>
    <x v="19"/>
    <x v="25"/>
    <x v="93"/>
    <x v="10"/>
    <x v="77"/>
    <x v="10"/>
    <x v="67"/>
    <x v="28"/>
    <x v="63"/>
    <x v="175"/>
    <x v="9"/>
  </r>
  <r>
    <x v="26"/>
    <x v="134"/>
    <x v="0"/>
    <x v="4"/>
    <x v="19"/>
    <x v="78"/>
    <x v="20"/>
    <x v="37"/>
    <x v="2"/>
    <x v="126"/>
    <x v="21"/>
    <x v="121"/>
    <x v="0"/>
    <x v="74"/>
    <x v="54"/>
    <x v="21"/>
    <x v="8"/>
    <x v="5"/>
    <x v="3"/>
    <x v="2"/>
    <x v="0"/>
    <x v="0"/>
    <x v="0"/>
    <x v="0"/>
    <x v="0"/>
    <x v="0"/>
    <x v="1"/>
    <x v="5"/>
    <x v="1"/>
    <x v="7"/>
    <x v="1"/>
    <x v="12"/>
    <x v="1"/>
    <x v="12"/>
    <x v="0"/>
    <x v="0"/>
    <x v="2"/>
    <x v="13"/>
    <x v="29"/>
    <x v="7"/>
    <x v="26"/>
    <x v="0"/>
    <x v="97"/>
    <x v="1"/>
    <x v="0"/>
    <x v="36"/>
    <x v="0"/>
    <x v="60"/>
    <x v="1"/>
    <x v="18"/>
    <x v="7"/>
    <x v="10"/>
    <x v="15"/>
    <x v="37"/>
    <x v="3"/>
    <x v="31"/>
    <x v="10"/>
    <x v="34"/>
    <x v="8"/>
    <x v="159"/>
    <x v="135"/>
    <x v="13"/>
  </r>
  <r>
    <x v="118"/>
    <x v="135"/>
    <x v="0"/>
    <x v="5"/>
    <x v="1"/>
    <x v="72"/>
    <x v="77"/>
    <x v="165"/>
    <x v="145"/>
    <x v="55"/>
    <x v="50"/>
    <x v="148"/>
    <x v="0"/>
    <x v="72"/>
    <x v="54"/>
    <x v="21"/>
    <x v="8"/>
    <x v="5"/>
    <x v="3"/>
    <x v="2"/>
    <x v="0"/>
    <x v="0"/>
    <x v="0"/>
    <x v="0"/>
    <x v="1"/>
    <x v="5"/>
    <x v="1"/>
    <x v="5"/>
    <x v="2"/>
    <x v="20"/>
    <x v="2"/>
    <x v="34"/>
    <x v="2"/>
    <x v="33"/>
    <x v="0"/>
    <x v="0"/>
    <x v="6"/>
    <x v="60"/>
    <x v="94"/>
    <x v="106"/>
    <x v="0"/>
    <x v="0"/>
    <x v="139"/>
    <x v="0"/>
    <x v="0"/>
    <x v="5"/>
    <x v="1"/>
    <x v="60"/>
    <x v="0"/>
    <x v="22"/>
    <x v="24"/>
    <x v="31"/>
    <x v="49"/>
    <x v="68"/>
    <x v="15"/>
    <x v="96"/>
    <x v="15"/>
    <x v="93"/>
    <x v="8"/>
    <x v="79"/>
    <x v="91"/>
    <x v="8"/>
  </r>
  <r>
    <x v="12"/>
    <x v="136"/>
    <x v="0"/>
    <x v="4"/>
    <x v="11"/>
    <x v="158"/>
    <x v="135"/>
    <x v="169"/>
    <x v="79"/>
    <x v="111"/>
    <x v="89"/>
    <x v="139"/>
    <x v="0"/>
    <x v="11"/>
    <x v="54"/>
    <x v="21"/>
    <x v="8"/>
    <x v="5"/>
    <x v="3"/>
    <x v="2"/>
    <x v="0"/>
    <x v="0"/>
    <x v="0"/>
    <x v="0"/>
    <x v="1"/>
    <x v="5"/>
    <x v="3"/>
    <x v="42"/>
    <x v="2"/>
    <x v="35"/>
    <x v="2"/>
    <x v="32"/>
    <x v="2"/>
    <x v="38"/>
    <x v="0"/>
    <x v="0"/>
    <x v="8"/>
    <x v="100"/>
    <x v="146"/>
    <x v="141"/>
    <x v="9"/>
    <x v="0"/>
    <x v="0"/>
    <x v="0"/>
    <x v="1"/>
    <x v="23"/>
    <x v="0"/>
    <x v="60"/>
    <x v="0"/>
    <x v="22"/>
    <x v="39"/>
    <x v="47"/>
    <x v="76"/>
    <x v="127"/>
    <x v="1"/>
    <x v="50"/>
    <x v="22"/>
    <x v="66"/>
    <x v="1"/>
    <x v="131"/>
    <x v="10"/>
    <x v="14"/>
  </r>
  <r>
    <x v="152"/>
    <x v="137"/>
    <x v="0"/>
    <x v="4"/>
    <x v="19"/>
    <x v="144"/>
    <x v="136"/>
    <x v="40"/>
    <x v="146"/>
    <x v="112"/>
    <x v="147"/>
    <x v="23"/>
    <x v="0"/>
    <x v="103"/>
    <x v="54"/>
    <x v="21"/>
    <x v="8"/>
    <x v="5"/>
    <x v="3"/>
    <x v="2"/>
    <x v="0"/>
    <x v="0"/>
    <x v="0"/>
    <x v="0"/>
    <x v="2"/>
    <x v="16"/>
    <x v="3"/>
    <x v="40"/>
    <x v="2"/>
    <x v="30"/>
    <x v="2"/>
    <x v="34"/>
    <x v="2"/>
    <x v="37"/>
    <x v="0"/>
    <x v="0"/>
    <x v="9"/>
    <x v="111"/>
    <x v="154"/>
    <x v="157"/>
    <x v="0"/>
    <x v="0"/>
    <x v="55"/>
    <x v="0"/>
    <x v="0"/>
    <x v="36"/>
    <x v="3"/>
    <x v="17"/>
    <x v="1"/>
    <x v="20"/>
    <x v="39"/>
    <x v="49"/>
    <x v="79"/>
    <x v="54"/>
    <x v="3"/>
    <x v="72"/>
    <x v="22"/>
    <x v="77"/>
    <x v="26"/>
    <x v="26"/>
    <x v="136"/>
    <x v="13"/>
  </r>
  <r>
    <x v="85"/>
    <x v="138"/>
    <x v="0"/>
    <x v="4"/>
    <x v="4"/>
    <x v="167"/>
    <x v="137"/>
    <x v="15"/>
    <x v="112"/>
    <x v="56"/>
    <x v="78"/>
    <x v="101"/>
    <x v="0"/>
    <x v="0"/>
    <x v="0"/>
    <x v="0"/>
    <x v="0"/>
    <x v="0"/>
    <x v="3"/>
    <x v="2"/>
    <x v="1"/>
    <x v="0"/>
    <x v="0"/>
    <x v="0"/>
    <x v="2"/>
    <x v="20"/>
    <x v="2"/>
    <x v="25"/>
    <x v="2"/>
    <x v="30"/>
    <x v="2"/>
    <x v="41"/>
    <x v="2"/>
    <x v="41"/>
    <x v="0"/>
    <x v="0"/>
    <x v="8"/>
    <x v="106"/>
    <x v="140"/>
    <x v="71"/>
    <x v="12"/>
    <x v="27"/>
    <x v="154"/>
    <x v="2"/>
    <x v="0"/>
    <x v="16"/>
    <x v="0"/>
    <x v="30"/>
    <x v="0"/>
    <x v="22"/>
    <x v="29"/>
    <x v="47"/>
    <x v="65"/>
    <x v="105"/>
    <x v="19"/>
    <x v="48"/>
    <x v="1"/>
    <x v="0"/>
    <x v="0"/>
    <x v="56"/>
    <x v="174"/>
    <x v="9"/>
  </r>
  <r>
    <x v="114"/>
    <x v="140"/>
    <x v="0"/>
    <x v="4"/>
    <x v="3"/>
    <x v="59"/>
    <x v="138"/>
    <x v="36"/>
    <x v="148"/>
    <x v="113"/>
    <x v="109"/>
    <x v="149"/>
    <x v="0"/>
    <x v="49"/>
    <x v="54"/>
    <x v="21"/>
    <x v="8"/>
    <x v="5"/>
    <x v="3"/>
    <x v="2"/>
    <x v="2"/>
    <x v="0"/>
    <x v="0"/>
    <x v="0"/>
    <x v="2"/>
    <x v="20"/>
    <x v="3"/>
    <x v="38"/>
    <x v="2"/>
    <x v="30"/>
    <x v="2"/>
    <x v="40"/>
    <x v="2"/>
    <x v="44"/>
    <x v="0"/>
    <x v="0"/>
    <x v="9"/>
    <x v="117"/>
    <x v="181"/>
    <x v="162"/>
    <x v="0"/>
    <x v="2"/>
    <x v="172"/>
    <x v="0"/>
    <x v="0"/>
    <x v="36"/>
    <x v="2"/>
    <x v="19"/>
    <x v="0"/>
    <x v="22"/>
    <x v="39"/>
    <x v="57"/>
    <x v="86"/>
    <x v="60"/>
    <x v="3"/>
    <x v="45"/>
    <x v="5"/>
    <x v="110"/>
    <x v="28"/>
    <x v="183"/>
    <x v="182"/>
    <x v="23"/>
  </r>
  <r>
    <x v="13"/>
    <x v="141"/>
    <x v="0"/>
    <x v="4"/>
    <x v="5"/>
    <x v="189"/>
    <x v="139"/>
    <x v="136"/>
    <x v="180"/>
    <x v="67"/>
    <x v="161"/>
    <x v="162"/>
    <x v="0"/>
    <x v="129"/>
    <x v="54"/>
    <x v="21"/>
    <x v="8"/>
    <x v="5"/>
    <x v="3"/>
    <x v="2"/>
    <x v="2"/>
    <x v="0"/>
    <x v="0"/>
    <x v="1"/>
    <x v="3"/>
    <x v="33"/>
    <x v="2"/>
    <x v="25"/>
    <x v="2"/>
    <x v="29"/>
    <x v="2"/>
    <x v="37"/>
    <x v="2"/>
    <x v="42"/>
    <x v="1"/>
    <x v="3"/>
    <x v="10"/>
    <x v="122"/>
    <x v="172"/>
    <x v="181"/>
    <x v="0"/>
    <x v="0"/>
    <x v="160"/>
    <x v="26"/>
    <x v="4"/>
    <x v="36"/>
    <x v="7"/>
    <x v="60"/>
    <x v="4"/>
    <x v="22"/>
    <x v="40"/>
    <x v="52"/>
    <x v="82"/>
    <x v="48"/>
    <x v="32"/>
    <x v="98"/>
    <x v="24"/>
    <x v="110"/>
    <x v="28"/>
    <x v="122"/>
    <x v="122"/>
    <x v="9"/>
  </r>
  <r>
    <x v="98"/>
    <x v="142"/>
    <x v="0"/>
    <x v="4"/>
    <x v="5"/>
    <x v="156"/>
    <x v="7"/>
    <x v="103"/>
    <x v="47"/>
    <x v="156"/>
    <x v="8"/>
    <x v="132"/>
    <x v="1"/>
    <x v="101"/>
    <x v="54"/>
    <x v="21"/>
    <x v="8"/>
    <x v="5"/>
    <x v="3"/>
    <x v="2"/>
    <x v="1"/>
    <x v="0"/>
    <x v="3"/>
    <x v="0"/>
    <x v="1"/>
    <x v="8"/>
    <x v="3"/>
    <x v="39"/>
    <x v="3"/>
    <x v="42"/>
    <x v="2"/>
    <x v="29"/>
    <x v="2"/>
    <x v="31"/>
    <x v="0"/>
    <x v="0"/>
    <x v="9"/>
    <x v="103"/>
    <x v="161"/>
    <x v="147"/>
    <x v="0"/>
    <x v="0"/>
    <x v="144"/>
    <x v="7"/>
    <x v="0"/>
    <x v="36"/>
    <x v="0"/>
    <x v="60"/>
    <x v="0"/>
    <x v="22"/>
    <x v="38"/>
    <x v="53"/>
    <x v="81"/>
    <x v="29"/>
    <x v="15"/>
    <x v="70"/>
    <x v="4"/>
    <x v="110"/>
    <x v="28"/>
    <x v="51"/>
    <x v="6"/>
    <x v="11"/>
  </r>
  <r>
    <x v="14"/>
    <x v="143"/>
    <x v="0"/>
    <x v="4"/>
    <x v="19"/>
    <x v="193"/>
    <x v="140"/>
    <x v="1"/>
    <x v="149"/>
    <x v="28"/>
    <x v="49"/>
    <x v="16"/>
    <x v="0"/>
    <x v="129"/>
    <x v="54"/>
    <x v="21"/>
    <x v="8"/>
    <x v="5"/>
    <x v="3"/>
    <x v="2"/>
    <x v="1"/>
    <x v="0"/>
    <x v="0"/>
    <x v="0"/>
    <x v="2"/>
    <x v="17"/>
    <x v="1"/>
    <x v="6"/>
    <x v="1"/>
    <x v="5"/>
    <x v="1"/>
    <x v="12"/>
    <x v="1"/>
    <x v="11"/>
    <x v="0"/>
    <x v="0"/>
    <x v="4"/>
    <x v="32"/>
    <x v="40"/>
    <x v="46"/>
    <x v="0"/>
    <x v="0"/>
    <x v="21"/>
    <x v="0"/>
    <x v="0"/>
    <x v="36"/>
    <x v="0"/>
    <x v="60"/>
    <x v="0"/>
    <x v="22"/>
    <x v="8"/>
    <x v="25"/>
    <x v="25"/>
    <x v="5"/>
    <x v="9"/>
    <x v="13"/>
    <x v="15"/>
    <x v="110"/>
    <x v="28"/>
    <x v="148"/>
    <x v="21"/>
    <x v="14"/>
  </r>
  <r>
    <x v="2"/>
    <x v="144"/>
    <x v="0"/>
    <x v="4"/>
    <x v="7"/>
    <x v="181"/>
    <x v="141"/>
    <x v="25"/>
    <x v="34"/>
    <x v="14"/>
    <x v="124"/>
    <x v="134"/>
    <x v="0"/>
    <x v="118"/>
    <x v="54"/>
    <x v="21"/>
    <x v="8"/>
    <x v="5"/>
    <x v="3"/>
    <x v="2"/>
    <x v="0"/>
    <x v="0"/>
    <x v="0"/>
    <x v="0"/>
    <x v="2"/>
    <x v="21"/>
    <x v="1"/>
    <x v="8"/>
    <x v="1"/>
    <x v="15"/>
    <x v="1"/>
    <x v="12"/>
    <x v="1"/>
    <x v="11"/>
    <x v="0"/>
    <x v="0"/>
    <x v="4"/>
    <x v="44"/>
    <x v="56"/>
    <x v="59"/>
    <x v="0"/>
    <x v="46"/>
    <x v="63"/>
    <x v="0"/>
    <x v="1"/>
    <x v="18"/>
    <x v="0"/>
    <x v="60"/>
    <x v="0"/>
    <x v="22"/>
    <x v="8"/>
    <x v="25"/>
    <x v="25"/>
    <x v="50"/>
    <x v="20"/>
    <x v="34"/>
    <x v="0"/>
    <x v="110"/>
    <x v="28"/>
    <x v="158"/>
    <x v="160"/>
    <x v="0"/>
  </r>
  <r>
    <x v="181"/>
    <x v="145"/>
    <x v="0"/>
    <x v="4"/>
    <x v="11"/>
    <x v="81"/>
    <x v="142"/>
    <x v="170"/>
    <x v="93"/>
    <x v="114"/>
    <x v="168"/>
    <x v="14"/>
    <x v="0"/>
    <x v="129"/>
    <x v="54"/>
    <x v="21"/>
    <x v="8"/>
    <x v="5"/>
    <x v="3"/>
    <x v="2"/>
    <x v="0"/>
    <x v="0"/>
    <x v="0"/>
    <x v="0"/>
    <x v="2"/>
    <x v="14"/>
    <x v="1"/>
    <x v="6"/>
    <x v="1"/>
    <x v="9"/>
    <x v="1"/>
    <x v="10"/>
    <x v="2"/>
    <x v="28"/>
    <x v="0"/>
    <x v="0"/>
    <x v="5"/>
    <x v="45"/>
    <x v="53"/>
    <x v="54"/>
    <x v="0"/>
    <x v="0"/>
    <x v="42"/>
    <x v="0"/>
    <x v="0"/>
    <x v="36"/>
    <x v="0"/>
    <x v="60"/>
    <x v="0"/>
    <x v="22"/>
    <x v="14"/>
    <x v="30"/>
    <x v="37"/>
    <x v="76"/>
    <x v="3"/>
    <x v="67"/>
    <x v="1"/>
    <x v="82"/>
    <x v="10"/>
    <x v="105"/>
    <x v="52"/>
    <x v="4"/>
  </r>
  <r>
    <x v="68"/>
    <x v="146"/>
    <x v="0"/>
    <x v="4"/>
    <x v="12"/>
    <x v="40"/>
    <x v="143"/>
    <x v="10"/>
    <x v="150"/>
    <x v="162"/>
    <x v="131"/>
    <x v="90"/>
    <x v="0"/>
    <x v="40"/>
    <x v="54"/>
    <x v="21"/>
    <x v="8"/>
    <x v="5"/>
    <x v="3"/>
    <x v="2"/>
    <x v="0"/>
    <x v="0"/>
    <x v="0"/>
    <x v="0"/>
    <x v="2"/>
    <x v="24"/>
    <x v="2"/>
    <x v="21"/>
    <x v="2"/>
    <x v="26"/>
    <x v="2"/>
    <x v="34"/>
    <x v="2"/>
    <x v="31"/>
    <x v="0"/>
    <x v="0"/>
    <x v="8"/>
    <x v="95"/>
    <x v="135"/>
    <x v="148"/>
    <x v="23"/>
    <x v="0"/>
    <x v="130"/>
    <x v="0"/>
    <x v="1"/>
    <x v="6"/>
    <x v="1"/>
    <x v="8"/>
    <x v="0"/>
    <x v="22"/>
    <x v="30"/>
    <x v="51"/>
    <x v="71"/>
    <x v="17"/>
    <x v="16"/>
    <x v="0"/>
    <x v="2"/>
    <x v="5"/>
    <x v="14"/>
    <x v="53"/>
    <x v="164"/>
    <x v="9"/>
  </r>
  <r>
    <x v="145"/>
    <x v="147"/>
    <x v="0"/>
    <x v="4"/>
    <x v="11"/>
    <x v="26"/>
    <x v="25"/>
    <x v="34"/>
    <x v="27"/>
    <x v="57"/>
    <x v="68"/>
    <x v="180"/>
    <x v="0"/>
    <x v="37"/>
    <x v="54"/>
    <x v="21"/>
    <x v="8"/>
    <x v="5"/>
    <x v="3"/>
    <x v="2"/>
    <x v="0"/>
    <x v="0"/>
    <x v="0"/>
    <x v="0"/>
    <x v="0"/>
    <x v="0"/>
    <x v="2"/>
    <x v="22"/>
    <x v="1"/>
    <x v="5"/>
    <x v="2"/>
    <x v="29"/>
    <x v="2"/>
    <x v="32"/>
    <x v="0"/>
    <x v="0"/>
    <x v="5"/>
    <x v="48"/>
    <x v="81"/>
    <x v="84"/>
    <x v="0"/>
    <x v="14"/>
    <x v="85"/>
    <x v="0"/>
    <x v="1"/>
    <x v="33"/>
    <x v="0"/>
    <x v="60"/>
    <x v="0"/>
    <x v="22"/>
    <x v="21"/>
    <x v="31"/>
    <x v="44"/>
    <x v="46"/>
    <x v="29"/>
    <x v="36"/>
    <x v="20"/>
    <x v="30"/>
    <x v="21"/>
    <x v="106"/>
    <x v="15"/>
    <x v="9"/>
  </r>
  <r>
    <x v="124"/>
    <x v="148"/>
    <x v="0"/>
    <x v="5"/>
    <x v="9"/>
    <x v="70"/>
    <x v="126"/>
    <x v="138"/>
    <x v="186"/>
    <x v="129"/>
    <x v="185"/>
    <x v="38"/>
    <x v="0"/>
    <x v="3"/>
    <x v="54"/>
    <x v="21"/>
    <x v="8"/>
    <x v="5"/>
    <x v="3"/>
    <x v="2"/>
    <x v="1"/>
    <x v="0"/>
    <x v="0"/>
    <x v="1"/>
    <x v="1"/>
    <x v="10"/>
    <x v="1"/>
    <x v="11"/>
    <x v="1"/>
    <x v="7"/>
    <x v="1"/>
    <x v="13"/>
    <x v="1"/>
    <x v="11"/>
    <x v="0"/>
    <x v="0"/>
    <x v="3"/>
    <x v="24"/>
    <x v="28"/>
    <x v="47"/>
    <x v="10"/>
    <x v="0"/>
    <x v="0"/>
    <x v="0"/>
    <x v="1"/>
    <x v="34"/>
    <x v="0"/>
    <x v="60"/>
    <x v="0"/>
    <x v="22"/>
    <x v="8"/>
    <x v="11"/>
    <x v="16"/>
    <x v="27"/>
    <x v="4"/>
    <x v="84"/>
    <x v="10"/>
    <x v="98"/>
    <x v="7"/>
    <x v="13"/>
    <x v="172"/>
    <x v="11"/>
  </r>
  <r>
    <x v="109"/>
    <x v="149"/>
    <x v="0"/>
    <x v="4"/>
    <x v="12"/>
    <x v="10"/>
    <x v="146"/>
    <x v="121"/>
    <x v="151"/>
    <x v="115"/>
    <x v="30"/>
    <x v="46"/>
    <x v="1"/>
    <x v="56"/>
    <x v="26"/>
    <x v="21"/>
    <x v="8"/>
    <x v="5"/>
    <x v="3"/>
    <x v="2"/>
    <x v="0"/>
    <x v="0"/>
    <x v="0"/>
    <x v="1"/>
    <x v="2"/>
    <x v="20"/>
    <x v="2"/>
    <x v="21"/>
    <x v="2"/>
    <x v="26"/>
    <x v="2"/>
    <x v="38"/>
    <x v="2"/>
    <x v="35"/>
    <x v="2"/>
    <x v="9"/>
    <x v="10"/>
    <x v="110"/>
    <x v="174"/>
    <x v="160"/>
    <x v="0"/>
    <x v="56"/>
    <x v="107"/>
    <x v="0"/>
    <x v="0"/>
    <x v="36"/>
    <x v="0"/>
    <x v="60"/>
    <x v="1"/>
    <x v="15"/>
    <x v="47"/>
    <x v="57"/>
    <x v="89"/>
    <x v="55"/>
    <x v="1"/>
    <x v="86"/>
    <x v="24"/>
    <x v="79"/>
    <x v="3"/>
    <x v="50"/>
    <x v="144"/>
    <x v="2"/>
  </r>
  <r>
    <x v="83"/>
    <x v="151"/>
    <x v="0"/>
    <x v="4"/>
    <x v="1"/>
    <x v="71"/>
    <x v="112"/>
    <x v="180"/>
    <x v="179"/>
    <x v="79"/>
    <x v="128"/>
    <x v="70"/>
    <x v="0"/>
    <x v="129"/>
    <x v="54"/>
    <x v="21"/>
    <x v="8"/>
    <x v="5"/>
    <x v="3"/>
    <x v="2"/>
    <x v="1"/>
    <x v="1"/>
    <x v="1"/>
    <x v="1"/>
    <x v="1"/>
    <x v="7"/>
    <x v="2"/>
    <x v="21"/>
    <x v="1"/>
    <x v="5"/>
    <x v="1"/>
    <x v="10"/>
    <x v="1"/>
    <x v="3"/>
    <x v="0"/>
    <x v="0"/>
    <x v="4"/>
    <x v="25"/>
    <x v="1"/>
    <x v="0"/>
    <x v="0"/>
    <x v="0"/>
    <x v="0"/>
    <x v="0"/>
    <x v="0"/>
    <x v="36"/>
    <x v="0"/>
    <x v="60"/>
    <x v="0"/>
    <x v="22"/>
    <x v="19"/>
    <x v="25"/>
    <x v="38"/>
    <x v="6"/>
    <x v="5"/>
    <x v="16"/>
    <x v="5"/>
    <x v="6"/>
    <x v="4"/>
    <x v="6"/>
    <x v="22"/>
    <x v="16"/>
  </r>
  <r>
    <x v="116"/>
    <x v="152"/>
    <x v="0"/>
    <x v="4"/>
    <x v="20"/>
    <x v="136"/>
    <x v="162"/>
    <x v="7"/>
    <x v="80"/>
    <x v="58"/>
    <x v="61"/>
    <x v="25"/>
    <x v="0"/>
    <x v="75"/>
    <x v="54"/>
    <x v="21"/>
    <x v="8"/>
    <x v="5"/>
    <x v="3"/>
    <x v="2"/>
    <x v="0"/>
    <x v="0"/>
    <x v="1"/>
    <x v="4"/>
    <x v="3"/>
    <x v="31"/>
    <x v="3"/>
    <x v="39"/>
    <x v="3"/>
    <x v="40"/>
    <x v="2"/>
    <x v="32"/>
    <x v="3"/>
    <x v="49"/>
    <x v="1"/>
    <x v="2"/>
    <x v="13"/>
    <x v="134"/>
    <x v="188"/>
    <x v="179"/>
    <x v="0"/>
    <x v="0"/>
    <x v="134"/>
    <x v="0"/>
    <x v="2"/>
    <x v="15"/>
    <x v="0"/>
    <x v="60"/>
    <x v="0"/>
    <x v="22"/>
    <x v="50"/>
    <x v="64"/>
    <x v="95"/>
    <x v="154"/>
    <x v="24"/>
    <x v="28"/>
    <x v="26"/>
    <x v="94"/>
    <x v="23"/>
    <x v="81"/>
    <x v="81"/>
    <x v="11"/>
  </r>
  <r>
    <x v="25"/>
    <x v="153"/>
    <x v="0"/>
    <x v="4"/>
    <x v="20"/>
    <x v="69"/>
    <x v="26"/>
    <x v="77"/>
    <x v="191"/>
    <x v="5"/>
    <x v="172"/>
    <x v="66"/>
    <x v="0"/>
    <x v="16"/>
    <x v="54"/>
    <x v="21"/>
    <x v="8"/>
    <x v="5"/>
    <x v="3"/>
    <x v="2"/>
    <x v="0"/>
    <x v="0"/>
    <x v="0"/>
    <x v="0"/>
    <x v="0"/>
    <x v="0"/>
    <x v="1"/>
    <x v="4"/>
    <x v="1"/>
    <x v="10"/>
    <x v="1"/>
    <x v="20"/>
    <x v="1"/>
    <x v="23"/>
    <x v="0"/>
    <x v="0"/>
    <x v="2"/>
    <x v="21"/>
    <x v="46"/>
    <x v="49"/>
    <x v="28"/>
    <x v="0"/>
    <x v="0"/>
    <x v="0"/>
    <x v="0"/>
    <x v="36"/>
    <x v="2"/>
    <x v="23"/>
    <x v="0"/>
    <x v="22"/>
    <x v="8"/>
    <x v="9"/>
    <x v="15"/>
    <x v="59"/>
    <x v="12"/>
    <x v="27"/>
    <x v="6"/>
    <x v="106"/>
    <x v="5"/>
    <x v="11"/>
    <x v="59"/>
    <x v="14"/>
  </r>
  <r>
    <x v="73"/>
    <x v="154"/>
    <x v="0"/>
    <x v="4"/>
    <x v="19"/>
    <x v="171"/>
    <x v="2"/>
    <x v="115"/>
    <x v="48"/>
    <x v="29"/>
    <x v="101"/>
    <x v="81"/>
    <x v="0"/>
    <x v="129"/>
    <x v="54"/>
    <x v="21"/>
    <x v="8"/>
    <x v="5"/>
    <x v="3"/>
    <x v="2"/>
    <x v="1"/>
    <x v="0"/>
    <x v="0"/>
    <x v="0"/>
    <x v="2"/>
    <x v="14"/>
    <x v="1"/>
    <x v="3"/>
    <x v="2"/>
    <x v="24"/>
    <x v="2"/>
    <x v="32"/>
    <x v="1"/>
    <x v="14"/>
    <x v="0"/>
    <x v="0"/>
    <x v="6"/>
    <x v="59"/>
    <x v="70"/>
    <x v="80"/>
    <x v="20"/>
    <x v="0"/>
    <x v="33"/>
    <x v="9"/>
    <x v="1"/>
    <x v="21"/>
    <x v="0"/>
    <x v="60"/>
    <x v="0"/>
    <x v="22"/>
    <x v="18"/>
    <x v="32"/>
    <x v="42"/>
    <x v="108"/>
    <x v="8"/>
    <x v="104"/>
    <x v="6"/>
    <x v="74"/>
    <x v="14"/>
    <x v="23"/>
    <x v="4"/>
    <x v="16"/>
  </r>
  <r>
    <x v="48"/>
    <x v="155"/>
    <x v="0"/>
    <x v="4"/>
    <x v="11"/>
    <x v="27"/>
    <x v="150"/>
    <x v="171"/>
    <x v="86"/>
    <x v="145"/>
    <x v="57"/>
    <x v="43"/>
    <x v="0"/>
    <x v="129"/>
    <x v="54"/>
    <x v="21"/>
    <x v="8"/>
    <x v="5"/>
    <x v="3"/>
    <x v="2"/>
    <x v="1"/>
    <x v="0"/>
    <x v="0"/>
    <x v="0"/>
    <x v="2"/>
    <x v="20"/>
    <x v="2"/>
    <x v="24"/>
    <x v="2"/>
    <x v="31"/>
    <x v="2"/>
    <x v="36"/>
    <x v="2"/>
    <x v="36"/>
    <x v="0"/>
    <x v="0"/>
    <x v="8"/>
    <x v="100"/>
    <x v="143"/>
    <x v="86"/>
    <x v="0"/>
    <x v="0"/>
    <x v="103"/>
    <x v="0"/>
    <x v="0"/>
    <x v="36"/>
    <x v="0"/>
    <x v="60"/>
    <x v="0"/>
    <x v="22"/>
    <x v="36"/>
    <x v="50"/>
    <x v="78"/>
    <x v="156"/>
    <x v="33"/>
    <x v="141"/>
    <x v="34"/>
    <x v="110"/>
    <x v="28"/>
    <x v="16"/>
    <x v="65"/>
    <x v="6"/>
  </r>
  <r>
    <x v="50"/>
    <x v="156"/>
    <x v="0"/>
    <x v="4"/>
    <x v="20"/>
    <x v="90"/>
    <x v="163"/>
    <x v="8"/>
    <x v="152"/>
    <x v="59"/>
    <x v="33"/>
    <x v="9"/>
    <x v="1"/>
    <x v="126"/>
    <x v="3"/>
    <x v="21"/>
    <x v="8"/>
    <x v="5"/>
    <x v="3"/>
    <x v="2"/>
    <x v="1"/>
    <x v="0"/>
    <x v="1"/>
    <x v="3"/>
    <x v="3"/>
    <x v="28"/>
    <x v="2"/>
    <x v="31"/>
    <x v="3"/>
    <x v="38"/>
    <x v="3"/>
    <x v="58"/>
    <x v="3"/>
    <x v="59"/>
    <x v="3"/>
    <x v="18"/>
    <x v="12"/>
    <x v="138"/>
    <x v="187"/>
    <x v="185"/>
    <x v="37"/>
    <x v="0"/>
    <x v="11"/>
    <x v="0"/>
    <x v="2"/>
    <x v="8"/>
    <x v="1"/>
    <x v="33"/>
    <x v="1"/>
    <x v="9"/>
    <x v="54"/>
    <x v="64"/>
    <x v="97"/>
    <x v="91"/>
    <x v="15"/>
    <x v="59"/>
    <x v="10"/>
    <x v="38"/>
    <x v="6"/>
    <x v="156"/>
    <x v="27"/>
    <x v="1"/>
  </r>
  <r>
    <x v="130"/>
    <x v="157"/>
    <x v="0"/>
    <x v="4"/>
    <x v="17"/>
    <x v="163"/>
    <x v="63"/>
    <x v="18"/>
    <x v="113"/>
    <x v="168"/>
    <x v="173"/>
    <x v="159"/>
    <x v="0"/>
    <x v="0"/>
    <x v="0"/>
    <x v="0"/>
    <x v="0"/>
    <x v="0"/>
    <x v="3"/>
    <x v="2"/>
    <x v="0"/>
    <x v="0"/>
    <x v="0"/>
    <x v="0"/>
    <x v="1"/>
    <x v="8"/>
    <x v="2"/>
    <x v="26"/>
    <x v="1"/>
    <x v="7"/>
    <x v="1"/>
    <x v="11"/>
    <x v="1"/>
    <x v="15"/>
    <x v="1"/>
    <x v="12"/>
    <x v="5"/>
    <x v="54"/>
    <x v="0"/>
    <x v="192"/>
    <x v="32"/>
    <x v="0"/>
    <x v="0"/>
    <x v="0"/>
    <x v="0"/>
    <x v="36"/>
    <x v="0"/>
    <x v="60"/>
    <x v="2"/>
    <x v="14"/>
    <x v="18"/>
    <x v="38"/>
    <x v="48"/>
    <x v="71"/>
    <x v="1"/>
    <x v="74"/>
    <x v="2"/>
    <x v="99"/>
    <x v="0"/>
    <x v="116"/>
    <x v="141"/>
    <x v="3"/>
  </r>
  <r>
    <x v="31"/>
    <x v="158"/>
    <x v="0"/>
    <x v="4"/>
    <x v="8"/>
    <x v="101"/>
    <x v="28"/>
    <x v="144"/>
    <x v="49"/>
    <x v="60"/>
    <x v="140"/>
    <x v="111"/>
    <x v="1"/>
    <x v="29"/>
    <x v="54"/>
    <x v="21"/>
    <x v="8"/>
    <x v="5"/>
    <x v="3"/>
    <x v="2"/>
    <x v="0"/>
    <x v="0"/>
    <x v="0"/>
    <x v="0"/>
    <x v="0"/>
    <x v="0"/>
    <x v="2"/>
    <x v="20"/>
    <x v="1"/>
    <x v="9"/>
    <x v="1"/>
    <x v="10"/>
    <x v="1"/>
    <x v="11"/>
    <x v="0"/>
    <x v="0"/>
    <x v="3"/>
    <x v="20"/>
    <x v="38"/>
    <x v="35"/>
    <x v="18"/>
    <x v="5"/>
    <x v="68"/>
    <x v="0"/>
    <x v="0"/>
    <x v="36"/>
    <x v="1"/>
    <x v="46"/>
    <x v="0"/>
    <x v="22"/>
    <x v="13"/>
    <x v="11"/>
    <x v="21"/>
    <x v="57"/>
    <x v="3"/>
    <x v="108"/>
    <x v="1"/>
    <x v="60"/>
    <x v="4"/>
    <x v="129"/>
    <x v="173"/>
    <x v="5"/>
  </r>
  <r>
    <x v="5"/>
    <x v="159"/>
    <x v="0"/>
    <x v="4"/>
    <x v="11"/>
    <x v="75"/>
    <x v="149"/>
    <x v="104"/>
    <x v="153"/>
    <x v="146"/>
    <x v="94"/>
    <x v="60"/>
    <x v="0"/>
    <x v="129"/>
    <x v="54"/>
    <x v="21"/>
    <x v="8"/>
    <x v="5"/>
    <x v="3"/>
    <x v="2"/>
    <x v="2"/>
    <x v="0"/>
    <x v="0"/>
    <x v="0"/>
    <x v="2"/>
    <x v="15"/>
    <x v="3"/>
    <x v="37"/>
    <x v="3"/>
    <x v="37"/>
    <x v="3"/>
    <x v="46"/>
    <x v="3"/>
    <x v="55"/>
    <x v="0"/>
    <x v="0"/>
    <x v="12"/>
    <x v="131"/>
    <x v="186"/>
    <x v="90"/>
    <x v="38"/>
    <x v="0"/>
    <x v="116"/>
    <x v="0"/>
    <x v="0"/>
    <x v="36"/>
    <x v="1"/>
    <x v="11"/>
    <x v="0"/>
    <x v="22"/>
    <x v="58"/>
    <x v="68"/>
    <x v="100"/>
    <x v="73"/>
    <x v="30"/>
    <x v="127"/>
    <x v="30"/>
    <x v="81"/>
    <x v="25"/>
    <x v="119"/>
    <x v="143"/>
    <x v="13"/>
  </r>
  <r>
    <x v="70"/>
    <x v="160"/>
    <x v="0"/>
    <x v="4"/>
    <x v="18"/>
    <x v="83"/>
    <x v="164"/>
    <x v="107"/>
    <x v="95"/>
    <x v="96"/>
    <x v="133"/>
    <x v="64"/>
    <x v="0"/>
    <x v="105"/>
    <x v="54"/>
    <x v="21"/>
    <x v="8"/>
    <x v="5"/>
    <x v="3"/>
    <x v="2"/>
    <x v="1"/>
    <x v="1"/>
    <x v="1"/>
    <x v="1"/>
    <x v="2"/>
    <x v="16"/>
    <x v="2"/>
    <x v="21"/>
    <x v="2"/>
    <x v="24"/>
    <x v="2"/>
    <x v="38"/>
    <x v="2"/>
    <x v="36"/>
    <x v="0"/>
    <x v="0"/>
    <x v="8"/>
    <x v="94"/>
    <x v="123"/>
    <x v="127"/>
    <x v="0"/>
    <x v="41"/>
    <x v="83"/>
    <x v="13"/>
    <x v="1"/>
    <x v="35"/>
    <x v="1"/>
    <x v="45"/>
    <x v="0"/>
    <x v="22"/>
    <x v="26"/>
    <x v="50"/>
    <x v="67"/>
    <x v="119"/>
    <x v="18"/>
    <x v="47"/>
    <x v="19"/>
    <x v="107"/>
    <x v="17"/>
    <x v="126"/>
    <x v="42"/>
    <x v="16"/>
  </r>
  <r>
    <x v="101"/>
    <x v="162"/>
    <x v="0"/>
    <x v="4"/>
    <x v="12"/>
    <x v="38"/>
    <x v="152"/>
    <x v="100"/>
    <x v="184"/>
    <x v="131"/>
    <x v="186"/>
    <x v="49"/>
    <x v="0"/>
    <x v="129"/>
    <x v="54"/>
    <x v="21"/>
    <x v="8"/>
    <x v="5"/>
    <x v="3"/>
    <x v="2"/>
    <x v="0"/>
    <x v="0"/>
    <x v="0"/>
    <x v="0"/>
    <x v="1"/>
    <x v="6"/>
    <x v="2"/>
    <x v="21"/>
    <x v="1"/>
    <x v="6"/>
    <x v="1"/>
    <x v="14"/>
    <x v="1"/>
    <x v="9"/>
    <x v="0"/>
    <x v="0"/>
    <x v="4"/>
    <x v="33"/>
    <x v="63"/>
    <x v="58"/>
    <x v="0"/>
    <x v="0"/>
    <x v="47"/>
    <x v="0"/>
    <x v="0"/>
    <x v="36"/>
    <x v="0"/>
    <x v="60"/>
    <x v="1"/>
    <x v="0"/>
    <x v="13"/>
    <x v="24"/>
    <x v="31"/>
    <x v="96"/>
    <x v="10"/>
    <x v="118"/>
    <x v="4"/>
    <x v="42"/>
    <x v="8"/>
    <x v="59"/>
    <x v="39"/>
    <x v="13"/>
  </r>
  <r>
    <x v="37"/>
    <x v="163"/>
    <x v="0"/>
    <x v="4"/>
    <x v="12"/>
    <x v="33"/>
    <x v="153"/>
    <x v="61"/>
    <x v="155"/>
    <x v="61"/>
    <x v="107"/>
    <x v="95"/>
    <x v="0"/>
    <x v="129"/>
    <x v="54"/>
    <x v="21"/>
    <x v="8"/>
    <x v="5"/>
    <x v="3"/>
    <x v="2"/>
    <x v="0"/>
    <x v="0"/>
    <x v="0"/>
    <x v="0"/>
    <x v="1"/>
    <x v="6"/>
    <x v="1"/>
    <x v="7"/>
    <x v="1"/>
    <x v="8"/>
    <x v="1"/>
    <x v="13"/>
    <x v="2"/>
    <x v="33"/>
    <x v="0"/>
    <x v="0"/>
    <x v="4"/>
    <x v="37"/>
    <x v="47"/>
    <x v="62"/>
    <x v="0"/>
    <x v="0"/>
    <x v="113"/>
    <x v="0"/>
    <x v="0"/>
    <x v="36"/>
    <x v="1"/>
    <x v="47"/>
    <x v="1"/>
    <x v="13"/>
    <x v="13"/>
    <x v="22"/>
    <x v="28"/>
    <x v="131"/>
    <x v="1"/>
    <x v="74"/>
    <x v="1"/>
    <x v="37"/>
    <x v="11"/>
    <x v="37"/>
    <x v="74"/>
    <x v="6"/>
  </r>
  <r>
    <x v="44"/>
    <x v="164"/>
    <x v="0"/>
    <x v="4"/>
    <x v="22"/>
    <x v="57"/>
    <x v="188"/>
    <x v="147"/>
    <x v="156"/>
    <x v="87"/>
    <x v="6"/>
    <x v="73"/>
    <x v="0"/>
    <x v="129"/>
    <x v="54"/>
    <x v="21"/>
    <x v="8"/>
    <x v="5"/>
    <x v="3"/>
    <x v="2"/>
    <x v="1"/>
    <x v="0"/>
    <x v="1"/>
    <x v="7"/>
    <x v="1"/>
    <x v="8"/>
    <x v="2"/>
    <x v="27"/>
    <x v="2"/>
    <x v="30"/>
    <x v="2"/>
    <x v="43"/>
    <x v="2"/>
    <x v="32"/>
    <x v="0"/>
    <x v="0"/>
    <x v="7"/>
    <x v="90"/>
    <x v="156"/>
    <x v="145"/>
    <x v="21"/>
    <x v="22"/>
    <x v="167"/>
    <x v="0"/>
    <x v="1"/>
    <x v="4"/>
    <x v="0"/>
    <x v="60"/>
    <x v="1"/>
    <x v="10"/>
    <x v="34"/>
    <x v="46"/>
    <x v="70"/>
    <x v="99"/>
    <x v="20"/>
    <x v="87"/>
    <x v="31"/>
    <x v="59"/>
    <x v="9"/>
    <x v="19"/>
    <x v="30"/>
    <x v="6"/>
  </r>
  <r>
    <x v="47"/>
    <x v="165"/>
    <x v="0"/>
    <x v="4"/>
    <x v="11"/>
    <x v="28"/>
    <x v="151"/>
    <x v="130"/>
    <x v="157"/>
    <x v="147"/>
    <x v="96"/>
    <x v="169"/>
    <x v="0"/>
    <x v="129"/>
    <x v="54"/>
    <x v="21"/>
    <x v="8"/>
    <x v="5"/>
    <x v="3"/>
    <x v="2"/>
    <x v="0"/>
    <x v="0"/>
    <x v="0"/>
    <x v="0"/>
    <x v="2"/>
    <x v="24"/>
    <x v="2"/>
    <x v="26"/>
    <x v="2"/>
    <x v="32"/>
    <x v="2"/>
    <x v="41"/>
    <x v="2"/>
    <x v="38"/>
    <x v="0"/>
    <x v="0"/>
    <x v="8"/>
    <x v="109"/>
    <x v="177"/>
    <x v="154"/>
    <x v="2"/>
    <x v="0"/>
    <x v="49"/>
    <x v="0"/>
    <x v="0"/>
    <x v="36"/>
    <x v="1"/>
    <x v="50"/>
    <x v="0"/>
    <x v="22"/>
    <x v="31"/>
    <x v="44"/>
    <x v="67"/>
    <x v="41"/>
    <x v="16"/>
    <x v="44"/>
    <x v="16"/>
    <x v="110"/>
    <x v="28"/>
    <x v="29"/>
    <x v="12"/>
    <x v="6"/>
  </r>
  <r>
    <x v="183"/>
    <x v="166"/>
    <x v="0"/>
    <x v="5"/>
    <x v="18"/>
    <x v="48"/>
    <x v="165"/>
    <x v="43"/>
    <x v="176"/>
    <x v="148"/>
    <x v="153"/>
    <x v="5"/>
    <x v="0"/>
    <x v="121"/>
    <x v="54"/>
    <x v="21"/>
    <x v="8"/>
    <x v="5"/>
    <x v="3"/>
    <x v="2"/>
    <x v="0"/>
    <x v="0"/>
    <x v="0"/>
    <x v="0"/>
    <x v="2"/>
    <x v="17"/>
    <x v="2"/>
    <x v="21"/>
    <x v="2"/>
    <x v="26"/>
    <x v="2"/>
    <x v="37"/>
    <x v="2"/>
    <x v="41"/>
    <x v="0"/>
    <x v="0"/>
    <x v="8"/>
    <x v="98"/>
    <x v="142"/>
    <x v="142"/>
    <x v="0"/>
    <x v="48"/>
    <x v="138"/>
    <x v="0"/>
    <x v="0"/>
    <x v="36"/>
    <x v="0"/>
    <x v="60"/>
    <x v="0"/>
    <x v="22"/>
    <x v="26"/>
    <x v="50"/>
    <x v="67"/>
    <x v="146"/>
    <x v="16"/>
    <x v="66"/>
    <x v="16"/>
    <x v="110"/>
    <x v="28"/>
    <x v="138"/>
    <x v="78"/>
    <x v="13"/>
  </r>
  <r>
    <x v="24"/>
    <x v="167"/>
    <x v="0"/>
    <x v="5"/>
    <x v="12"/>
    <x v="35"/>
    <x v="167"/>
    <x v="62"/>
    <x v="81"/>
    <x v="149"/>
    <x v="117"/>
    <x v="87"/>
    <x v="0"/>
    <x v="7"/>
    <x v="54"/>
    <x v="21"/>
    <x v="8"/>
    <x v="5"/>
    <x v="3"/>
    <x v="2"/>
    <x v="0"/>
    <x v="0"/>
    <x v="0"/>
    <x v="0"/>
    <x v="2"/>
    <x v="20"/>
    <x v="1"/>
    <x v="10"/>
    <x v="2"/>
    <x v="32"/>
    <x v="2"/>
    <x v="36"/>
    <x v="1"/>
    <x v="15"/>
    <x v="0"/>
    <x v="0"/>
    <x v="6"/>
    <x v="74"/>
    <x v="127"/>
    <x v="132"/>
    <x v="0"/>
    <x v="51"/>
    <x v="135"/>
    <x v="0"/>
    <x v="0"/>
    <x v="36"/>
    <x v="0"/>
    <x v="60"/>
    <x v="0"/>
    <x v="22"/>
    <x v="21"/>
    <x v="39"/>
    <x v="52"/>
    <x v="95"/>
    <x v="17"/>
    <x v="78"/>
    <x v="1"/>
    <x v="110"/>
    <x v="28"/>
    <x v="133"/>
    <x v="110"/>
    <x v="5"/>
  </r>
  <r>
    <x v="179"/>
    <x v="168"/>
    <x v="0"/>
    <x v="5"/>
    <x v="12"/>
    <x v="29"/>
    <x v="168"/>
    <x v="162"/>
    <x v="158"/>
    <x v="62"/>
    <x v="148"/>
    <x v="133"/>
    <x v="1"/>
    <x v="39"/>
    <x v="54"/>
    <x v="21"/>
    <x v="8"/>
    <x v="5"/>
    <x v="3"/>
    <x v="2"/>
    <x v="3"/>
    <x v="0"/>
    <x v="2"/>
    <x v="1"/>
    <x v="3"/>
    <x v="30"/>
    <x v="5"/>
    <x v="53"/>
    <x v="4"/>
    <x v="53"/>
    <x v="4"/>
    <x v="58"/>
    <x v="3"/>
    <x v="51"/>
    <x v="0"/>
    <x v="0"/>
    <x v="16"/>
    <x v="143"/>
    <x v="190"/>
    <x v="188"/>
    <x v="0"/>
    <x v="4"/>
    <x v="165"/>
    <x v="0"/>
    <x v="0"/>
    <x v="36"/>
    <x v="0"/>
    <x v="60"/>
    <x v="0"/>
    <x v="22"/>
    <x v="59"/>
    <x v="70"/>
    <x v="101"/>
    <x v="15"/>
    <x v="31"/>
    <x v="4"/>
    <x v="33"/>
    <x v="110"/>
    <x v="28"/>
    <x v="115"/>
    <x v="80"/>
    <x v="12"/>
  </r>
  <r>
    <x v="158"/>
    <x v="169"/>
    <x v="0"/>
    <x v="4"/>
    <x v="21"/>
    <x v="146"/>
    <x v="30"/>
    <x v="142"/>
    <x v="85"/>
    <x v="13"/>
    <x v="176"/>
    <x v="85"/>
    <x v="0"/>
    <x v="21"/>
    <x v="54"/>
    <x v="21"/>
    <x v="8"/>
    <x v="5"/>
    <x v="3"/>
    <x v="2"/>
    <x v="0"/>
    <x v="0"/>
    <x v="0"/>
    <x v="0"/>
    <x v="0"/>
    <x v="0"/>
    <x v="1"/>
    <x v="4"/>
    <x v="1"/>
    <x v="7"/>
    <x v="1"/>
    <x v="10"/>
    <x v="1"/>
    <x v="9"/>
    <x v="0"/>
    <x v="0"/>
    <x v="2"/>
    <x v="9"/>
    <x v="17"/>
    <x v="21"/>
    <x v="0"/>
    <x v="0"/>
    <x v="82"/>
    <x v="0"/>
    <x v="1"/>
    <x v="1"/>
    <x v="0"/>
    <x v="60"/>
    <x v="0"/>
    <x v="22"/>
    <x v="5"/>
    <x v="4"/>
    <x v="7"/>
    <x v="23"/>
    <x v="3"/>
    <x v="19"/>
    <x v="1"/>
    <x v="10"/>
    <x v="0"/>
    <x v="55"/>
    <x v="93"/>
    <x v="13"/>
  </r>
  <r>
    <x v="127"/>
    <x v="170"/>
    <x v="0"/>
    <x v="4"/>
    <x v="22"/>
    <x v="16"/>
    <x v="170"/>
    <x v="164"/>
    <x v="114"/>
    <x v="63"/>
    <x v="162"/>
    <x v="45"/>
    <x v="0"/>
    <x v="129"/>
    <x v="54"/>
    <x v="21"/>
    <x v="8"/>
    <x v="5"/>
    <x v="3"/>
    <x v="2"/>
    <x v="0"/>
    <x v="0"/>
    <x v="0"/>
    <x v="0"/>
    <x v="2"/>
    <x v="21"/>
    <x v="1"/>
    <x v="8"/>
    <x v="2"/>
    <x v="28"/>
    <x v="1"/>
    <x v="15"/>
    <x v="2"/>
    <x v="25"/>
    <x v="0"/>
    <x v="0"/>
    <x v="6"/>
    <x v="63"/>
    <x v="78"/>
    <x v="102"/>
    <x v="27"/>
    <x v="33"/>
    <x v="120"/>
    <x v="0"/>
    <x v="0"/>
    <x v="36"/>
    <x v="1"/>
    <x v="54"/>
    <x v="1"/>
    <x v="19"/>
    <x v="17"/>
    <x v="33"/>
    <x v="42"/>
    <x v="97"/>
    <x v="1"/>
    <x v="75"/>
    <x v="2"/>
    <x v="65"/>
    <x v="0"/>
    <x v="140"/>
    <x v="147"/>
    <x v="12"/>
  </r>
  <r>
    <x v="164"/>
    <x v="171"/>
    <x v="0"/>
    <x v="4"/>
    <x v="22"/>
    <x v="125"/>
    <x v="171"/>
    <x v="24"/>
    <x v="50"/>
    <x v="116"/>
    <x v="65"/>
    <x v="44"/>
    <x v="0"/>
    <x v="129"/>
    <x v="54"/>
    <x v="21"/>
    <x v="8"/>
    <x v="5"/>
    <x v="3"/>
    <x v="2"/>
    <x v="1"/>
    <x v="0"/>
    <x v="0"/>
    <x v="0"/>
    <x v="2"/>
    <x v="24"/>
    <x v="4"/>
    <x v="52"/>
    <x v="3"/>
    <x v="47"/>
    <x v="2"/>
    <x v="43"/>
    <x v="2"/>
    <x v="40"/>
    <x v="0"/>
    <x v="0"/>
    <x v="11"/>
    <x v="135"/>
    <x v="189"/>
    <x v="182"/>
    <x v="0"/>
    <x v="7"/>
    <x v="164"/>
    <x v="0"/>
    <x v="2"/>
    <x v="12"/>
    <x v="2"/>
    <x v="24"/>
    <x v="2"/>
    <x v="17"/>
    <x v="53"/>
    <x v="57"/>
    <x v="92"/>
    <x v="38"/>
    <x v="20"/>
    <x v="33"/>
    <x v="27"/>
    <x v="29"/>
    <x v="0"/>
    <x v="24"/>
    <x v="68"/>
    <x v="13"/>
  </r>
  <r>
    <x v="89"/>
    <x v="173"/>
    <x v="0"/>
    <x v="4"/>
    <x v="8"/>
    <x v="105"/>
    <x v="166"/>
    <x v="109"/>
    <x v="160"/>
    <x v="150"/>
    <x v="139"/>
    <x v="155"/>
    <x v="0"/>
    <x v="129"/>
    <x v="54"/>
    <x v="21"/>
    <x v="8"/>
    <x v="5"/>
    <x v="3"/>
    <x v="2"/>
    <x v="1"/>
    <x v="0"/>
    <x v="0"/>
    <x v="1"/>
    <x v="2"/>
    <x v="21"/>
    <x v="2"/>
    <x v="23"/>
    <x v="3"/>
    <x v="46"/>
    <x v="3"/>
    <x v="52"/>
    <x v="2"/>
    <x v="38"/>
    <x v="0"/>
    <x v="0"/>
    <x v="10"/>
    <x v="127"/>
    <x v="169"/>
    <x v="176"/>
    <x v="0"/>
    <x v="1"/>
    <x v="133"/>
    <x v="0"/>
    <x v="0"/>
    <x v="36"/>
    <x v="1"/>
    <x v="39"/>
    <x v="0"/>
    <x v="22"/>
    <x v="38"/>
    <x v="55"/>
    <x v="82"/>
    <x v="44"/>
    <x v="22"/>
    <x v="58"/>
    <x v="3"/>
    <x v="45"/>
    <x v="21"/>
    <x v="182"/>
    <x v="124"/>
    <x v="11"/>
  </r>
  <r>
    <x v="21"/>
    <x v="174"/>
    <x v="0"/>
    <x v="4"/>
    <x v="3"/>
    <x v="151"/>
    <x v="161"/>
    <x v="29"/>
    <x v="161"/>
    <x v="117"/>
    <x v="64"/>
    <x v="97"/>
    <x v="7"/>
    <x v="129"/>
    <x v="54"/>
    <x v="21"/>
    <x v="8"/>
    <x v="5"/>
    <x v="3"/>
    <x v="2"/>
    <x v="0"/>
    <x v="0"/>
    <x v="0"/>
    <x v="0"/>
    <x v="2"/>
    <x v="24"/>
    <x v="1"/>
    <x v="7"/>
    <x v="3"/>
    <x v="41"/>
    <x v="2"/>
    <x v="30"/>
    <x v="2"/>
    <x v="26"/>
    <x v="0"/>
    <x v="0"/>
    <x v="8"/>
    <x v="92"/>
    <x v="116"/>
    <x v="137"/>
    <x v="0"/>
    <x v="0"/>
    <x v="151"/>
    <x v="0"/>
    <x v="0"/>
    <x v="36"/>
    <x v="0"/>
    <x v="60"/>
    <x v="0"/>
    <x v="22"/>
    <x v="26"/>
    <x v="44"/>
    <x v="62"/>
    <x v="98"/>
    <x v="1"/>
    <x v="82"/>
    <x v="15"/>
    <x v="73"/>
    <x v="0"/>
    <x v="174"/>
    <x v="20"/>
    <x v="5"/>
  </r>
  <r>
    <x v="74"/>
    <x v="175"/>
    <x v="0"/>
    <x v="4"/>
    <x v="2"/>
    <x v="44"/>
    <x v="169"/>
    <x v="173"/>
    <x v="82"/>
    <x v="97"/>
    <x v="91"/>
    <x v="79"/>
    <x v="0"/>
    <x v="129"/>
    <x v="54"/>
    <x v="21"/>
    <x v="8"/>
    <x v="5"/>
    <x v="3"/>
    <x v="2"/>
    <x v="0"/>
    <x v="0"/>
    <x v="0"/>
    <x v="0"/>
    <x v="1"/>
    <x v="5"/>
    <x v="3"/>
    <x v="40"/>
    <x v="2"/>
    <x v="23"/>
    <x v="2"/>
    <x v="29"/>
    <x v="2"/>
    <x v="31"/>
    <x v="0"/>
    <x v="0"/>
    <x v="8"/>
    <x v="87"/>
    <x v="121"/>
    <x v="128"/>
    <x v="0"/>
    <x v="0"/>
    <x v="60"/>
    <x v="0"/>
    <x v="0"/>
    <x v="36"/>
    <x v="0"/>
    <x v="60"/>
    <x v="0"/>
    <x v="22"/>
    <x v="31"/>
    <x v="40"/>
    <x v="64"/>
    <x v="88"/>
    <x v="3"/>
    <x v="55"/>
    <x v="15"/>
    <x v="49"/>
    <x v="16"/>
    <x v="4"/>
    <x v="2"/>
    <x v="15"/>
  </r>
  <r>
    <x v="18"/>
    <x v="176"/>
    <x v="0"/>
    <x v="4"/>
    <x v="13"/>
    <x v="60"/>
    <x v="34"/>
    <x v="2"/>
    <x v="162"/>
    <x v="173"/>
    <x v="52"/>
    <x v="84"/>
    <x v="3"/>
    <x v="52"/>
    <x v="23"/>
    <x v="21"/>
    <x v="8"/>
    <x v="5"/>
    <x v="3"/>
    <x v="2"/>
    <x v="0"/>
    <x v="0"/>
    <x v="0"/>
    <x v="0"/>
    <x v="1"/>
    <x v="6"/>
    <x v="0"/>
    <x v="0"/>
    <x v="2"/>
    <x v="24"/>
    <x v="0"/>
    <x v="2"/>
    <x v="1"/>
    <x v="2"/>
    <x v="0"/>
    <x v="0"/>
    <x v="2"/>
    <x v="7"/>
    <x v="11"/>
    <x v="15"/>
    <x v="0"/>
    <x v="0"/>
    <x v="13"/>
    <x v="0"/>
    <x v="0"/>
    <x v="36"/>
    <x v="0"/>
    <x v="60"/>
    <x v="0"/>
    <x v="22"/>
    <x v="2"/>
    <x v="9"/>
    <x v="7"/>
    <x v="124"/>
    <x v="15"/>
    <x v="52"/>
    <x v="3"/>
    <x v="23"/>
    <x v="2"/>
    <x v="0"/>
    <x v="0"/>
    <x v="13"/>
  </r>
  <r>
    <x v="129"/>
    <x v="177"/>
    <x v="0"/>
    <x v="4"/>
    <x v="16"/>
    <x v="46"/>
    <x v="174"/>
    <x v="166"/>
    <x v="115"/>
    <x v="90"/>
    <x v="136"/>
    <x v="119"/>
    <x v="0"/>
    <x v="18"/>
    <x v="54"/>
    <x v="21"/>
    <x v="8"/>
    <x v="5"/>
    <x v="3"/>
    <x v="2"/>
    <x v="0"/>
    <x v="0"/>
    <x v="0"/>
    <x v="0"/>
    <x v="2"/>
    <x v="19"/>
    <x v="2"/>
    <x v="22"/>
    <x v="1"/>
    <x v="8"/>
    <x v="2"/>
    <x v="37"/>
    <x v="1"/>
    <x v="13"/>
    <x v="0"/>
    <x v="0"/>
    <x v="6"/>
    <x v="66"/>
    <x v="97"/>
    <x v="123"/>
    <x v="0"/>
    <x v="0"/>
    <x v="61"/>
    <x v="0"/>
    <x v="0"/>
    <x v="36"/>
    <x v="0"/>
    <x v="60"/>
    <x v="0"/>
    <x v="22"/>
    <x v="19"/>
    <x v="40"/>
    <x v="49"/>
    <x v="61"/>
    <x v="14"/>
    <x v="135"/>
    <x v="13"/>
    <x v="110"/>
    <x v="28"/>
    <x v="123"/>
    <x v="94"/>
    <x v="12"/>
  </r>
  <r>
    <x v="57"/>
    <x v="178"/>
    <x v="0"/>
    <x v="4"/>
    <x v="8"/>
    <x v="121"/>
    <x v="32"/>
    <x v="119"/>
    <x v="31"/>
    <x v="155"/>
    <x v="105"/>
    <x v="113"/>
    <x v="0"/>
    <x v="91"/>
    <x v="54"/>
    <x v="21"/>
    <x v="8"/>
    <x v="5"/>
    <x v="3"/>
    <x v="2"/>
    <x v="1"/>
    <x v="0"/>
    <x v="0"/>
    <x v="0"/>
    <x v="0"/>
    <x v="0"/>
    <x v="1"/>
    <x v="5"/>
    <x v="1"/>
    <x v="5"/>
    <x v="2"/>
    <x v="32"/>
    <x v="2"/>
    <x v="37"/>
    <x v="0"/>
    <x v="0"/>
    <x v="4"/>
    <x v="38"/>
    <x v="49"/>
    <x v="37"/>
    <x v="0"/>
    <x v="0"/>
    <x v="91"/>
    <x v="0"/>
    <x v="0"/>
    <x v="36"/>
    <x v="0"/>
    <x v="60"/>
    <x v="0"/>
    <x v="22"/>
    <x v="18"/>
    <x v="11"/>
    <x v="28"/>
    <x v="50"/>
    <x v="15"/>
    <x v="99"/>
    <x v="10"/>
    <x v="110"/>
    <x v="28"/>
    <x v="60"/>
    <x v="73"/>
    <x v="16"/>
  </r>
  <r>
    <x v="22"/>
    <x v="179"/>
    <x v="0"/>
    <x v="4"/>
    <x v="11"/>
    <x v="22"/>
    <x v="175"/>
    <x v="35"/>
    <x v="164"/>
    <x v="151"/>
    <x v="45"/>
    <x v="61"/>
    <x v="0"/>
    <x v="36"/>
    <x v="54"/>
    <x v="21"/>
    <x v="8"/>
    <x v="5"/>
    <x v="3"/>
    <x v="2"/>
    <x v="0"/>
    <x v="0"/>
    <x v="0"/>
    <x v="0"/>
    <x v="2"/>
    <x v="18"/>
    <x v="2"/>
    <x v="22"/>
    <x v="2"/>
    <x v="23"/>
    <x v="2"/>
    <x v="30"/>
    <x v="2"/>
    <x v="34"/>
    <x v="0"/>
    <x v="0"/>
    <x v="8"/>
    <x v="89"/>
    <x v="133"/>
    <x v="146"/>
    <x v="0"/>
    <x v="10"/>
    <x v="99"/>
    <x v="0"/>
    <x v="2"/>
    <x v="17"/>
    <x v="0"/>
    <x v="60"/>
    <x v="0"/>
    <x v="22"/>
    <x v="27"/>
    <x v="47"/>
    <x v="64"/>
    <x v="47"/>
    <x v="9"/>
    <x v="37"/>
    <x v="2"/>
    <x v="31"/>
    <x v="9"/>
    <x v="166"/>
    <x v="26"/>
    <x v="9"/>
  </r>
  <r>
    <x v="92"/>
    <x v="180"/>
    <x v="0"/>
    <x v="4"/>
    <x v="23"/>
    <x v="186"/>
    <x v="173"/>
    <x v="120"/>
    <x v="96"/>
    <x v="95"/>
    <x v="4"/>
    <x v="47"/>
    <x v="2"/>
    <x v="128"/>
    <x v="52"/>
    <x v="20"/>
    <x v="8"/>
    <x v="5"/>
    <x v="3"/>
    <x v="2"/>
    <x v="0"/>
    <x v="0"/>
    <x v="0"/>
    <x v="0"/>
    <x v="0"/>
    <x v="0"/>
    <x v="2"/>
    <x v="24"/>
    <x v="2"/>
    <x v="34"/>
    <x v="2"/>
    <x v="36"/>
    <x v="1"/>
    <x v="16"/>
    <x v="0"/>
    <x v="0"/>
    <x v="5"/>
    <x v="61"/>
    <x v="89"/>
    <x v="83"/>
    <x v="0"/>
    <x v="9"/>
    <x v="101"/>
    <x v="12"/>
    <x v="0"/>
    <x v="36"/>
    <x v="2"/>
    <x v="25"/>
    <x v="0"/>
    <x v="22"/>
    <x v="20"/>
    <x v="28"/>
    <x v="41"/>
    <x v="143"/>
    <x v="16"/>
    <x v="141"/>
    <x v="34"/>
    <x v="110"/>
    <x v="28"/>
    <x v="165"/>
    <x v="54"/>
    <x v="21"/>
  </r>
  <r>
    <x v="63"/>
    <x v="181"/>
    <x v="0"/>
    <x v="5"/>
    <x v="6"/>
    <x v="14"/>
    <x v="33"/>
    <x v="16"/>
    <x v="165"/>
    <x v="164"/>
    <x v="108"/>
    <x v="29"/>
    <x v="0"/>
    <x v="28"/>
    <x v="54"/>
    <x v="21"/>
    <x v="8"/>
    <x v="5"/>
    <x v="3"/>
    <x v="2"/>
    <x v="0"/>
    <x v="0"/>
    <x v="0"/>
    <x v="0"/>
    <x v="1"/>
    <x v="7"/>
    <x v="2"/>
    <x v="22"/>
    <x v="2"/>
    <x v="29"/>
    <x v="3"/>
    <x v="56"/>
    <x v="2"/>
    <x v="36"/>
    <x v="0"/>
    <x v="0"/>
    <x v="8"/>
    <x v="102"/>
    <x v="145"/>
    <x v="153"/>
    <x v="0"/>
    <x v="0"/>
    <x v="127"/>
    <x v="0"/>
    <x v="0"/>
    <x v="36"/>
    <x v="0"/>
    <x v="60"/>
    <x v="0"/>
    <x v="22"/>
    <x v="36"/>
    <x v="49"/>
    <x v="76"/>
    <x v="121"/>
    <x v="21"/>
    <x v="90"/>
    <x v="22"/>
    <x v="39"/>
    <x v="16"/>
    <x v="89"/>
    <x v="105"/>
    <x v="14"/>
  </r>
  <r>
    <x v="106"/>
    <x v="182"/>
    <x v="0"/>
    <x v="4"/>
    <x v="9"/>
    <x v="54"/>
    <x v="81"/>
    <x v="42"/>
    <x v="111"/>
    <x v="173"/>
    <x v="73"/>
    <x v="180"/>
    <x v="1"/>
    <x v="51"/>
    <x v="21"/>
    <x v="21"/>
    <x v="8"/>
    <x v="5"/>
    <x v="3"/>
    <x v="2"/>
    <x v="1"/>
    <x v="0"/>
    <x v="0"/>
    <x v="0"/>
    <x v="1"/>
    <x v="6"/>
    <x v="0"/>
    <x v="0"/>
    <x v="1"/>
    <x v="1"/>
    <x v="1"/>
    <x v="6"/>
    <x v="1"/>
    <x v="10"/>
    <x v="1"/>
    <x v="13"/>
    <x v="3"/>
    <x v="16"/>
    <x v="10"/>
    <x v="8"/>
    <x v="0"/>
    <x v="0"/>
    <x v="15"/>
    <x v="0"/>
    <x v="0"/>
    <x v="36"/>
    <x v="0"/>
    <x v="60"/>
    <x v="0"/>
    <x v="22"/>
    <x v="5"/>
    <x v="11"/>
    <x v="15"/>
    <x v="67"/>
    <x v="8"/>
    <x v="54"/>
    <x v="5"/>
    <x v="36"/>
    <x v="6"/>
    <x v="91"/>
    <x v="179"/>
    <x v="9"/>
  </r>
  <r>
    <x v="11"/>
    <x v="184"/>
    <x v="0"/>
    <x v="4"/>
    <x v="13"/>
    <x v="135"/>
    <x v="88"/>
    <x v="65"/>
    <x v="83"/>
    <x v="6"/>
    <x v="84"/>
    <x v="153"/>
    <x v="2"/>
    <x v="69"/>
    <x v="31"/>
    <x v="19"/>
    <x v="8"/>
    <x v="5"/>
    <x v="3"/>
    <x v="2"/>
    <x v="1"/>
    <x v="0"/>
    <x v="1"/>
    <x v="1"/>
    <x v="3"/>
    <x v="30"/>
    <x v="2"/>
    <x v="34"/>
    <x v="2"/>
    <x v="29"/>
    <x v="3"/>
    <x v="48"/>
    <x v="2"/>
    <x v="31"/>
    <x v="0"/>
    <x v="0"/>
    <x v="10"/>
    <x v="124"/>
    <x v="151"/>
    <x v="172"/>
    <x v="0"/>
    <x v="26"/>
    <x v="0"/>
    <x v="0"/>
    <x v="3"/>
    <x v="11"/>
    <x v="2"/>
    <x v="20"/>
    <x v="1"/>
    <x v="5"/>
    <x v="36"/>
    <x v="64"/>
    <x v="90"/>
    <x v="22"/>
    <x v="1"/>
    <x v="11"/>
    <x v="1"/>
    <x v="1"/>
    <x v="0"/>
    <x v="17"/>
    <x v="3"/>
    <x v="14"/>
  </r>
  <r>
    <x v="30"/>
    <x v="185"/>
    <x v="0"/>
    <x v="4"/>
    <x v="18"/>
    <x v="63"/>
    <x v="35"/>
    <x v="78"/>
    <x v="51"/>
    <x v="165"/>
    <x v="178"/>
    <x v="6"/>
    <x v="0"/>
    <x v="129"/>
    <x v="54"/>
    <x v="21"/>
    <x v="8"/>
    <x v="5"/>
    <x v="3"/>
    <x v="2"/>
    <x v="0"/>
    <x v="0"/>
    <x v="0"/>
    <x v="0"/>
    <x v="2"/>
    <x v="21"/>
    <x v="2"/>
    <x v="21"/>
    <x v="2"/>
    <x v="34"/>
    <x v="2"/>
    <x v="30"/>
    <x v="2"/>
    <x v="36"/>
    <x v="0"/>
    <x v="0"/>
    <x v="8"/>
    <x v="98"/>
    <x v="125"/>
    <x v="139"/>
    <x v="0"/>
    <x v="0"/>
    <x v="57"/>
    <x v="0"/>
    <x v="0"/>
    <x v="36"/>
    <x v="1"/>
    <x v="2"/>
    <x v="0"/>
    <x v="22"/>
    <x v="31"/>
    <x v="50"/>
    <x v="72"/>
    <x v="156"/>
    <x v="33"/>
    <x v="141"/>
    <x v="34"/>
    <x v="110"/>
    <x v="28"/>
    <x v="57"/>
    <x v="23"/>
    <x v="14"/>
  </r>
  <r>
    <x v="156"/>
    <x v="186"/>
    <x v="0"/>
    <x v="4"/>
    <x v="18"/>
    <x v="20"/>
    <x v="176"/>
    <x v="182"/>
    <x v="116"/>
    <x v="166"/>
    <x v="47"/>
    <x v="180"/>
    <x v="1"/>
    <x v="35"/>
    <x v="22"/>
    <x v="21"/>
    <x v="8"/>
    <x v="5"/>
    <x v="3"/>
    <x v="2"/>
    <x v="0"/>
    <x v="0"/>
    <x v="0"/>
    <x v="0"/>
    <x v="2"/>
    <x v="20"/>
    <x v="3"/>
    <x v="39"/>
    <x v="3"/>
    <x v="51"/>
    <x v="3"/>
    <x v="48"/>
    <x v="3"/>
    <x v="58"/>
    <x v="0"/>
    <x v="0"/>
    <x v="12"/>
    <x v="136"/>
    <x v="164"/>
    <x v="168"/>
    <x v="0"/>
    <x v="12"/>
    <x v="117"/>
    <x v="20"/>
    <x v="0"/>
    <x v="36"/>
    <x v="0"/>
    <x v="60"/>
    <x v="0"/>
    <x v="22"/>
    <x v="51"/>
    <x v="62"/>
    <x v="95"/>
    <x v="156"/>
    <x v="33"/>
    <x v="141"/>
    <x v="34"/>
    <x v="110"/>
    <x v="28"/>
    <x v="118"/>
    <x v="120"/>
    <x v="13"/>
  </r>
  <r>
    <x v="154"/>
    <x v="187"/>
    <x v="0"/>
    <x v="4"/>
    <x v="8"/>
    <x v="122"/>
    <x v="118"/>
    <x v="46"/>
    <x v="168"/>
    <x v="64"/>
    <x v="112"/>
    <x v="177"/>
    <x v="2"/>
    <x v="92"/>
    <x v="50"/>
    <x v="13"/>
    <x v="8"/>
    <x v="5"/>
    <x v="3"/>
    <x v="2"/>
    <x v="1"/>
    <x v="0"/>
    <x v="1"/>
    <x v="6"/>
    <x v="4"/>
    <x v="39"/>
    <x v="3"/>
    <x v="37"/>
    <x v="3"/>
    <x v="46"/>
    <x v="3"/>
    <x v="54"/>
    <x v="3"/>
    <x v="48"/>
    <x v="0"/>
    <x v="0"/>
    <x v="14"/>
    <x v="141"/>
    <x v="182"/>
    <x v="184"/>
    <x v="0"/>
    <x v="5"/>
    <x v="77"/>
    <x v="0"/>
    <x v="0"/>
    <x v="36"/>
    <x v="1"/>
    <x v="48"/>
    <x v="0"/>
    <x v="22"/>
    <x v="52"/>
    <x v="66"/>
    <x v="97"/>
    <x v="156"/>
    <x v="33"/>
    <x v="119"/>
    <x v="27"/>
    <x v="110"/>
    <x v="28"/>
    <x v="168"/>
    <x v="36"/>
    <x v="13"/>
  </r>
  <r>
    <x v="171"/>
    <x v="188"/>
    <x v="0"/>
    <x v="1"/>
    <x v="9"/>
    <x v="149"/>
    <x v="8"/>
    <x v="126"/>
    <x v="84"/>
    <x v="104"/>
    <x v="135"/>
    <x v="91"/>
    <x v="0"/>
    <x v="129"/>
    <x v="54"/>
    <x v="21"/>
    <x v="8"/>
    <x v="5"/>
    <x v="3"/>
    <x v="2"/>
    <x v="0"/>
    <x v="0"/>
    <x v="0"/>
    <x v="0"/>
    <x v="1"/>
    <x v="6"/>
    <x v="1"/>
    <x v="1"/>
    <x v="1"/>
    <x v="2"/>
    <x v="0"/>
    <x v="0"/>
    <x v="0"/>
    <x v="0"/>
    <x v="1"/>
    <x v="12"/>
    <x v="2"/>
    <x v="4"/>
    <x v="15"/>
    <x v="24"/>
    <x v="0"/>
    <x v="0"/>
    <x v="0"/>
    <x v="0"/>
    <x v="0"/>
    <x v="36"/>
    <x v="0"/>
    <x v="60"/>
    <x v="0"/>
    <x v="22"/>
    <x v="2"/>
    <x v="8"/>
    <x v="6"/>
    <x v="138"/>
    <x v="6"/>
    <x v="115"/>
    <x v="1"/>
    <x v="51"/>
    <x v="0"/>
    <x v="25"/>
    <x v="66"/>
    <x v="13"/>
  </r>
  <r>
    <x v="79"/>
    <x v="189"/>
    <x v="0"/>
    <x v="4"/>
    <x v="11"/>
    <x v="177"/>
    <x v="184"/>
    <x v="21"/>
    <x v="169"/>
    <x v="173"/>
    <x v="114"/>
    <x v="118"/>
    <x v="0"/>
    <x v="38"/>
    <x v="54"/>
    <x v="21"/>
    <x v="8"/>
    <x v="5"/>
    <x v="3"/>
    <x v="2"/>
    <x v="2"/>
    <x v="0"/>
    <x v="1"/>
    <x v="2"/>
    <x v="2"/>
    <x v="20"/>
    <x v="1"/>
    <x v="9"/>
    <x v="1"/>
    <x v="11"/>
    <x v="1"/>
    <x v="15"/>
    <x v="1"/>
    <x v="12"/>
    <x v="0"/>
    <x v="0"/>
    <x v="4"/>
    <x v="44"/>
    <x v="59"/>
    <x v="57"/>
    <x v="0"/>
    <x v="0"/>
    <x v="95"/>
    <x v="0"/>
    <x v="0"/>
    <x v="36"/>
    <x v="1"/>
    <x v="9"/>
    <x v="0"/>
    <x v="22"/>
    <x v="11"/>
    <x v="27"/>
    <x v="31"/>
    <x v="2"/>
    <x v="10"/>
    <x v="8"/>
    <x v="3"/>
    <x v="27"/>
    <x v="5"/>
    <x v="80"/>
    <x v="95"/>
    <x v="12"/>
  </r>
  <r>
    <x v="188"/>
    <x v="190"/>
    <x v="0"/>
    <x v="4"/>
    <x v="6"/>
    <x v="13"/>
    <x v="82"/>
    <x v="159"/>
    <x v="170"/>
    <x v="119"/>
    <x v="180"/>
    <x v="2"/>
    <x v="0"/>
    <x v="129"/>
    <x v="54"/>
    <x v="21"/>
    <x v="8"/>
    <x v="5"/>
    <x v="3"/>
    <x v="2"/>
    <x v="3"/>
    <x v="0"/>
    <x v="1"/>
    <x v="7"/>
    <x v="3"/>
    <x v="27"/>
    <x v="3"/>
    <x v="42"/>
    <x v="2"/>
    <x v="17"/>
    <x v="1"/>
    <x v="9"/>
    <x v="2"/>
    <x v="17"/>
    <x v="0"/>
    <x v="0"/>
    <x v="9"/>
    <x v="83"/>
    <x v="65"/>
    <x v="51"/>
    <x v="0"/>
    <x v="0"/>
    <x v="8"/>
    <x v="17"/>
    <x v="1"/>
    <x v="24"/>
    <x v="0"/>
    <x v="60"/>
    <x v="0"/>
    <x v="22"/>
    <x v="26"/>
    <x v="49"/>
    <x v="65"/>
    <x v="101"/>
    <x v="1"/>
    <x v="138"/>
    <x v="1"/>
    <x v="91"/>
    <x v="14"/>
    <x v="5"/>
    <x v="9"/>
    <x v="16"/>
  </r>
  <r>
    <x v="148"/>
    <x v="191"/>
    <x v="0"/>
    <x v="14"/>
    <x v="17"/>
    <x v="192"/>
    <x v="113"/>
    <x v="124"/>
    <x v="171"/>
    <x v="152"/>
    <x v="167"/>
    <x v="154"/>
    <x v="2"/>
    <x v="64"/>
    <x v="28"/>
    <x v="21"/>
    <x v="8"/>
    <x v="5"/>
    <x v="3"/>
    <x v="2"/>
    <x v="3"/>
    <x v="0"/>
    <x v="2"/>
    <x v="5"/>
    <x v="2"/>
    <x v="12"/>
    <x v="2"/>
    <x v="16"/>
    <x v="1"/>
    <x v="6"/>
    <x v="1"/>
    <x v="15"/>
    <x v="1"/>
    <x v="9"/>
    <x v="2"/>
    <x v="17"/>
    <x v="7"/>
    <x v="65"/>
    <x v="73"/>
    <x v="98"/>
    <x v="0"/>
    <x v="6"/>
    <x v="74"/>
    <x v="0"/>
    <x v="0"/>
    <x v="36"/>
    <x v="0"/>
    <x v="60"/>
    <x v="0"/>
    <x v="22"/>
    <x v="22"/>
    <x v="34"/>
    <x v="51"/>
    <x v="134"/>
    <x v="1"/>
    <x v="79"/>
    <x v="3"/>
    <x v="110"/>
    <x v="28"/>
    <x v="167"/>
    <x v="163"/>
    <x v="12"/>
  </r>
  <r>
    <x v="167"/>
    <x v="192"/>
    <x v="0"/>
    <x v="4"/>
    <x v="12"/>
    <x v="41"/>
    <x v="186"/>
    <x v="63"/>
    <x v="172"/>
    <x v="167"/>
    <x v="72"/>
    <x v="124"/>
    <x v="0"/>
    <x v="71"/>
    <x v="54"/>
    <x v="21"/>
    <x v="8"/>
    <x v="5"/>
    <x v="3"/>
    <x v="2"/>
    <x v="0"/>
    <x v="0"/>
    <x v="0"/>
    <x v="0"/>
    <x v="2"/>
    <x v="19"/>
    <x v="2"/>
    <x v="21"/>
    <x v="2"/>
    <x v="32"/>
    <x v="1"/>
    <x v="13"/>
    <x v="1"/>
    <x v="12"/>
    <x v="0"/>
    <x v="0"/>
    <x v="6"/>
    <x v="65"/>
    <x v="82"/>
    <x v="89"/>
    <x v="26"/>
    <x v="35"/>
    <x v="89"/>
    <x v="0"/>
    <x v="0"/>
    <x v="36"/>
    <x v="1"/>
    <x v="5"/>
    <x v="0"/>
    <x v="22"/>
    <x v="21"/>
    <x v="32"/>
    <x v="46"/>
    <x v="71"/>
    <x v="14"/>
    <x v="80"/>
    <x v="14"/>
    <x v="72"/>
    <x v="17"/>
    <x v="30"/>
    <x v="51"/>
    <x v="13"/>
  </r>
  <r>
    <x v="117"/>
    <x v="193"/>
    <x v="0"/>
    <x v="4"/>
    <x v="8"/>
    <x v="96"/>
    <x v="40"/>
    <x v="185"/>
    <x v="3"/>
    <x v="7"/>
    <x v="76"/>
    <x v="179"/>
    <x v="5"/>
    <x v="48"/>
    <x v="19"/>
    <x v="5"/>
    <x v="3"/>
    <x v="3"/>
    <x v="3"/>
    <x v="2"/>
    <x v="0"/>
    <x v="0"/>
    <x v="1"/>
    <x v="2"/>
    <x v="0"/>
    <x v="0"/>
    <x v="4"/>
    <x v="51"/>
    <x v="2"/>
    <x v="30"/>
    <x v="3"/>
    <x v="51"/>
    <x v="3"/>
    <x v="59"/>
    <x v="1"/>
    <x v="1"/>
    <x v="11"/>
    <x v="129"/>
    <x v="185"/>
    <x v="177"/>
    <x v="39"/>
    <x v="50"/>
    <x v="161"/>
    <x v="0"/>
    <x v="1"/>
    <x v="22"/>
    <x v="4"/>
    <x v="27"/>
    <x v="1"/>
    <x v="1"/>
    <x v="55"/>
    <x v="56"/>
    <x v="94"/>
    <x v="30"/>
    <x v="7"/>
    <x v="46"/>
    <x v="1"/>
    <x v="85"/>
    <x v="7"/>
    <x v="132"/>
    <x v="158"/>
    <x v="11"/>
  </r>
  <r>
    <x v="168"/>
    <x v="2"/>
    <x v="0"/>
    <x v="4"/>
    <x v="15"/>
    <x v="104"/>
    <x v="41"/>
    <x v="69"/>
    <x v="104"/>
    <x v="19"/>
    <x v="132"/>
    <x v="109"/>
    <x v="2"/>
    <x v="86"/>
    <x v="36"/>
    <x v="16"/>
    <x v="8"/>
    <x v="5"/>
    <x v="3"/>
    <x v="2"/>
    <x v="0"/>
    <x v="0"/>
    <x v="0"/>
    <x v="1"/>
    <x v="0"/>
    <x v="0"/>
    <x v="1"/>
    <x v="6"/>
    <x v="1"/>
    <x v="10"/>
    <x v="2"/>
    <x v="34"/>
    <x v="1"/>
    <x v="15"/>
    <x v="0"/>
    <x v="0"/>
    <x v="3"/>
    <x v="25"/>
    <x v="39"/>
    <x v="27"/>
    <x v="0"/>
    <x v="0"/>
    <x v="34"/>
    <x v="0"/>
    <x v="0"/>
    <x v="36"/>
    <x v="0"/>
    <x v="60"/>
    <x v="0"/>
    <x v="22"/>
    <x v="12"/>
    <x v="16"/>
    <x v="23"/>
    <x v="28"/>
    <x v="11"/>
    <x v="141"/>
    <x v="34"/>
    <x v="110"/>
    <x v="28"/>
    <x v="160"/>
    <x v="62"/>
    <x v="13"/>
  </r>
  <r>
    <x v="107"/>
    <x v="3"/>
    <x v="0"/>
    <x v="4"/>
    <x v="11"/>
    <x v="182"/>
    <x v="11"/>
    <x v="33"/>
    <x v="121"/>
    <x v="106"/>
    <x v="11"/>
    <x v="115"/>
    <x v="0"/>
    <x v="129"/>
    <x v="54"/>
    <x v="21"/>
    <x v="8"/>
    <x v="5"/>
    <x v="3"/>
    <x v="2"/>
    <x v="2"/>
    <x v="0"/>
    <x v="0"/>
    <x v="1"/>
    <x v="2"/>
    <x v="21"/>
    <x v="1"/>
    <x v="12"/>
    <x v="3"/>
    <x v="35"/>
    <x v="1"/>
    <x v="21"/>
    <x v="3"/>
    <x v="40"/>
    <x v="0"/>
    <x v="0"/>
    <x v="8"/>
    <x v="82"/>
    <x v="168"/>
    <x v="112"/>
    <x v="0"/>
    <x v="0"/>
    <x v="64"/>
    <x v="0"/>
    <x v="0"/>
    <x v="36"/>
    <x v="0"/>
    <x v="60"/>
    <x v="0"/>
    <x v="22"/>
    <x v="36"/>
    <x v="47"/>
    <x v="73"/>
    <x v="80"/>
    <x v="9"/>
    <x v="49"/>
    <x v="21"/>
    <x v="52"/>
    <x v="19"/>
    <x v="114"/>
    <x v="56"/>
    <x v="9"/>
  </r>
  <r>
    <x v="103"/>
    <x v="4"/>
    <x v="0"/>
    <x v="3"/>
    <x v="14"/>
    <x v="62"/>
    <x v="128"/>
    <x v="175"/>
    <x v="24"/>
    <x v="173"/>
    <x v="88"/>
    <x v="51"/>
    <x v="4"/>
    <x v="8"/>
    <x v="8"/>
    <x v="8"/>
    <x v="8"/>
    <x v="5"/>
    <x v="3"/>
    <x v="2"/>
    <x v="0"/>
    <x v="0"/>
    <x v="0"/>
    <x v="0"/>
    <x v="0"/>
    <x v="0"/>
    <x v="1"/>
    <x v="12"/>
    <x v="1"/>
    <x v="3"/>
    <x v="2"/>
    <x v="30"/>
    <x v="1"/>
    <x v="17"/>
    <x v="0"/>
    <x v="0"/>
    <x v="3"/>
    <x v="23"/>
    <x v="24"/>
    <x v="44"/>
    <x v="0"/>
    <x v="0"/>
    <x v="0"/>
    <x v="0"/>
    <x v="0"/>
    <x v="36"/>
    <x v="1"/>
    <x v="58"/>
    <x v="0"/>
    <x v="22"/>
    <x v="11"/>
    <x v="9"/>
    <x v="16"/>
    <x v="12"/>
    <x v="3"/>
    <x v="17"/>
    <x v="9"/>
    <x v="16"/>
    <x v="0"/>
    <x v="36"/>
    <x v="157"/>
    <x v="22"/>
  </r>
  <r>
    <x v="56"/>
    <x v="5"/>
    <x v="0"/>
    <x v="4"/>
    <x v="18"/>
    <x v="117"/>
    <x v="91"/>
    <x v="73"/>
    <x v="54"/>
    <x v="71"/>
    <x v="24"/>
    <x v="17"/>
    <x v="0"/>
    <x v="129"/>
    <x v="54"/>
    <x v="21"/>
    <x v="8"/>
    <x v="5"/>
    <x v="3"/>
    <x v="2"/>
    <x v="2"/>
    <x v="0"/>
    <x v="0"/>
    <x v="0"/>
    <x v="2"/>
    <x v="16"/>
    <x v="1"/>
    <x v="6"/>
    <x v="2"/>
    <x v="27"/>
    <x v="2"/>
    <x v="32"/>
    <x v="2"/>
    <x v="35"/>
    <x v="0"/>
    <x v="0"/>
    <x v="7"/>
    <x v="77"/>
    <x v="108"/>
    <x v="116"/>
    <x v="0"/>
    <x v="24"/>
    <x v="111"/>
    <x v="24"/>
    <x v="0"/>
    <x v="36"/>
    <x v="0"/>
    <x v="60"/>
    <x v="0"/>
    <x v="22"/>
    <x v="23"/>
    <x v="35"/>
    <x v="54"/>
    <x v="16"/>
    <x v="16"/>
    <x v="2"/>
    <x v="16"/>
    <x v="92"/>
    <x v="0"/>
    <x v="72"/>
    <x v="63"/>
    <x v="16"/>
  </r>
  <r>
    <x v="75"/>
    <x v="6"/>
    <x v="0"/>
    <x v="4"/>
    <x v="15"/>
    <x v="191"/>
    <x v="42"/>
    <x v="96"/>
    <x v="11"/>
    <x v="8"/>
    <x v="158"/>
    <x v="52"/>
    <x v="3"/>
    <x v="122"/>
    <x v="51"/>
    <x v="11"/>
    <x v="6"/>
    <x v="5"/>
    <x v="3"/>
    <x v="2"/>
    <x v="0"/>
    <x v="0"/>
    <x v="0"/>
    <x v="0"/>
    <x v="0"/>
    <x v="0"/>
    <x v="3"/>
    <x v="38"/>
    <x v="3"/>
    <x v="46"/>
    <x v="2"/>
    <x v="33"/>
    <x v="3"/>
    <x v="53"/>
    <x v="0"/>
    <x v="0"/>
    <x v="9"/>
    <x v="110"/>
    <x v="162"/>
    <x v="163"/>
    <x v="0"/>
    <x v="0"/>
    <x v="147"/>
    <x v="5"/>
    <x v="0"/>
    <x v="36"/>
    <x v="0"/>
    <x v="60"/>
    <x v="0"/>
    <x v="22"/>
    <x v="41"/>
    <x v="56"/>
    <x v="86"/>
    <x v="156"/>
    <x v="33"/>
    <x v="141"/>
    <x v="34"/>
    <x v="110"/>
    <x v="28"/>
    <x v="139"/>
    <x v="149"/>
    <x v="16"/>
  </r>
  <r>
    <x v="34"/>
    <x v="7"/>
    <x v="0"/>
    <x v="4"/>
    <x v="18"/>
    <x v="128"/>
    <x v="92"/>
    <x v="75"/>
    <x v="147"/>
    <x v="31"/>
    <x v="80"/>
    <x v="125"/>
    <x v="1"/>
    <x v="95"/>
    <x v="54"/>
    <x v="21"/>
    <x v="8"/>
    <x v="5"/>
    <x v="3"/>
    <x v="2"/>
    <x v="1"/>
    <x v="0"/>
    <x v="0"/>
    <x v="0"/>
    <x v="2"/>
    <x v="19"/>
    <x v="2"/>
    <x v="22"/>
    <x v="2"/>
    <x v="27"/>
    <x v="2"/>
    <x v="35"/>
    <x v="1"/>
    <x v="9"/>
    <x v="0"/>
    <x v="0"/>
    <x v="7"/>
    <x v="78"/>
    <x v="90"/>
    <x v="126"/>
    <x v="0"/>
    <x v="13"/>
    <x v="93"/>
    <x v="0"/>
    <x v="0"/>
    <x v="36"/>
    <x v="0"/>
    <x v="60"/>
    <x v="0"/>
    <x v="22"/>
    <x v="22"/>
    <x v="43"/>
    <x v="58"/>
    <x v="145"/>
    <x v="14"/>
    <x v="68"/>
    <x v="13"/>
    <x v="110"/>
    <x v="28"/>
    <x v="127"/>
    <x v="49"/>
    <x v="14"/>
  </r>
  <r>
    <x v="178"/>
    <x v="8"/>
    <x v="0"/>
    <x v="4"/>
    <x v="19"/>
    <x v="164"/>
    <x v="43"/>
    <x v="106"/>
    <x v="4"/>
    <x v="93"/>
    <x v="138"/>
    <x v="13"/>
    <x v="0"/>
    <x v="112"/>
    <x v="54"/>
    <x v="21"/>
    <x v="8"/>
    <x v="5"/>
    <x v="3"/>
    <x v="2"/>
    <x v="0"/>
    <x v="0"/>
    <x v="0"/>
    <x v="0"/>
    <x v="0"/>
    <x v="0"/>
    <x v="1"/>
    <x v="4"/>
    <x v="1"/>
    <x v="9"/>
    <x v="1"/>
    <x v="11"/>
    <x v="1"/>
    <x v="13"/>
    <x v="0"/>
    <x v="0"/>
    <x v="2"/>
    <x v="14"/>
    <x v="33"/>
    <x v="22"/>
    <x v="0"/>
    <x v="0"/>
    <x v="52"/>
    <x v="0"/>
    <x v="0"/>
    <x v="36"/>
    <x v="0"/>
    <x v="60"/>
    <x v="0"/>
    <x v="22"/>
    <x v="7"/>
    <x v="7"/>
    <x v="11"/>
    <x v="141"/>
    <x v="2"/>
    <x v="64"/>
    <x v="7"/>
    <x v="110"/>
    <x v="28"/>
    <x v="157"/>
    <x v="162"/>
    <x v="13"/>
  </r>
  <r>
    <x v="176"/>
    <x v="9"/>
    <x v="0"/>
    <x v="4"/>
    <x v="8"/>
    <x v="120"/>
    <x v="6"/>
    <x v="143"/>
    <x v="30"/>
    <x v="32"/>
    <x v="0"/>
    <x v="122"/>
    <x v="0"/>
    <x v="0"/>
    <x v="0"/>
    <x v="0"/>
    <x v="0"/>
    <x v="0"/>
    <x v="3"/>
    <x v="2"/>
    <x v="0"/>
    <x v="0"/>
    <x v="0"/>
    <x v="0"/>
    <x v="0"/>
    <x v="0"/>
    <x v="1"/>
    <x v="4"/>
    <x v="1"/>
    <x v="9"/>
    <x v="1"/>
    <x v="9"/>
    <x v="1"/>
    <x v="14"/>
    <x v="0"/>
    <x v="0"/>
    <x v="2"/>
    <x v="13"/>
    <x v="23"/>
    <x v="20"/>
    <x v="0"/>
    <x v="0"/>
    <x v="37"/>
    <x v="0"/>
    <x v="0"/>
    <x v="36"/>
    <x v="0"/>
    <x v="60"/>
    <x v="0"/>
    <x v="22"/>
    <x v="7"/>
    <x v="5"/>
    <x v="9"/>
    <x v="128"/>
    <x v="4"/>
    <x v="65"/>
    <x v="6"/>
    <x v="105"/>
    <x v="8"/>
    <x v="107"/>
    <x v="165"/>
    <x v="13"/>
  </r>
  <r>
    <x v="174"/>
    <x v="10"/>
    <x v="0"/>
    <x v="4"/>
    <x v="6"/>
    <x v="11"/>
    <x v="44"/>
    <x v="187"/>
    <x v="55"/>
    <x v="20"/>
    <x v="127"/>
    <x v="31"/>
    <x v="1"/>
    <x v="30"/>
    <x v="13"/>
    <x v="21"/>
    <x v="8"/>
    <x v="5"/>
    <x v="3"/>
    <x v="2"/>
    <x v="0"/>
    <x v="0"/>
    <x v="0"/>
    <x v="0"/>
    <x v="1"/>
    <x v="3"/>
    <x v="2"/>
    <x v="19"/>
    <x v="2"/>
    <x v="30"/>
    <x v="3"/>
    <x v="53"/>
    <x v="3"/>
    <x v="52"/>
    <x v="0"/>
    <x v="0"/>
    <x v="9"/>
    <x v="107"/>
    <x v="4"/>
    <x v="3"/>
    <x v="0"/>
    <x v="0"/>
    <x v="0"/>
    <x v="0"/>
    <x v="0"/>
    <x v="36"/>
    <x v="0"/>
    <x v="60"/>
    <x v="0"/>
    <x v="22"/>
    <x v="38"/>
    <x v="52"/>
    <x v="80"/>
    <x v="66"/>
    <x v="20"/>
    <x v="84"/>
    <x v="17"/>
    <x v="110"/>
    <x v="28"/>
    <x v="69"/>
    <x v="48"/>
    <x v="9"/>
  </r>
  <r>
    <x v="84"/>
    <x v="11"/>
    <x v="0"/>
    <x v="5"/>
    <x v="12"/>
    <x v="7"/>
    <x v="86"/>
    <x v="160"/>
    <x v="167"/>
    <x v="173"/>
    <x v="70"/>
    <x v="48"/>
    <x v="0"/>
    <x v="13"/>
    <x v="54"/>
    <x v="21"/>
    <x v="8"/>
    <x v="5"/>
    <x v="3"/>
    <x v="2"/>
    <x v="0"/>
    <x v="0"/>
    <x v="0"/>
    <x v="0"/>
    <x v="2"/>
    <x v="20"/>
    <x v="2"/>
    <x v="20"/>
    <x v="2"/>
    <x v="28"/>
    <x v="1"/>
    <x v="12"/>
    <x v="2"/>
    <x v="26"/>
    <x v="0"/>
    <x v="0"/>
    <x v="7"/>
    <x v="71"/>
    <x v="96"/>
    <x v="100"/>
    <x v="0"/>
    <x v="0"/>
    <x v="88"/>
    <x v="0"/>
    <x v="0"/>
    <x v="36"/>
    <x v="1"/>
    <x v="52"/>
    <x v="0"/>
    <x v="22"/>
    <x v="23"/>
    <x v="48"/>
    <x v="62"/>
    <x v="115"/>
    <x v="17"/>
    <x v="141"/>
    <x v="34"/>
    <x v="110"/>
    <x v="28"/>
    <x v="83"/>
    <x v="111"/>
    <x v="9"/>
  </r>
  <r>
    <x v="177"/>
    <x v="13"/>
    <x v="0"/>
    <x v="4"/>
    <x v="18"/>
    <x v="93"/>
    <x v="45"/>
    <x v="74"/>
    <x v="12"/>
    <x v="82"/>
    <x v="99"/>
    <x v="63"/>
    <x v="1"/>
    <x v="80"/>
    <x v="37"/>
    <x v="21"/>
    <x v="8"/>
    <x v="5"/>
    <x v="3"/>
    <x v="2"/>
    <x v="0"/>
    <x v="0"/>
    <x v="0"/>
    <x v="0"/>
    <x v="1"/>
    <x v="6"/>
    <x v="2"/>
    <x v="18"/>
    <x v="2"/>
    <x v="18"/>
    <x v="2"/>
    <x v="26"/>
    <x v="1"/>
    <x v="11"/>
    <x v="0"/>
    <x v="0"/>
    <x v="6"/>
    <x v="53"/>
    <x v="72"/>
    <x v="76"/>
    <x v="6"/>
    <x v="0"/>
    <x v="65"/>
    <x v="0"/>
    <x v="0"/>
    <x v="36"/>
    <x v="1"/>
    <x v="10"/>
    <x v="0"/>
    <x v="22"/>
    <x v="20"/>
    <x v="42"/>
    <x v="53"/>
    <x v="125"/>
    <x v="16"/>
    <x v="62"/>
    <x v="15"/>
    <x v="110"/>
    <x v="28"/>
    <x v="162"/>
    <x v="18"/>
    <x v="13"/>
  </r>
  <r>
    <x v="184"/>
    <x v="14"/>
    <x v="0"/>
    <x v="4"/>
    <x v="10"/>
    <x v="137"/>
    <x v="10"/>
    <x v="110"/>
    <x v="5"/>
    <x v="101"/>
    <x v="143"/>
    <x v="143"/>
    <x v="0"/>
    <x v="129"/>
    <x v="54"/>
    <x v="21"/>
    <x v="8"/>
    <x v="5"/>
    <x v="3"/>
    <x v="2"/>
    <x v="1"/>
    <x v="0"/>
    <x v="0"/>
    <x v="0"/>
    <x v="0"/>
    <x v="0"/>
    <x v="1"/>
    <x v="4"/>
    <x v="1"/>
    <x v="8"/>
    <x v="1"/>
    <x v="12"/>
    <x v="1"/>
    <x v="10"/>
    <x v="0"/>
    <x v="0"/>
    <x v="2"/>
    <x v="12"/>
    <x v="30"/>
    <x v="17"/>
    <x v="0"/>
    <x v="0"/>
    <x v="173"/>
    <x v="0"/>
    <x v="0"/>
    <x v="36"/>
    <x v="0"/>
    <x v="60"/>
    <x v="0"/>
    <x v="22"/>
    <x v="8"/>
    <x v="6"/>
    <x v="13"/>
    <x v="111"/>
    <x v="19"/>
    <x v="26"/>
    <x v="1"/>
    <x v="89"/>
    <x v="4"/>
    <x v="48"/>
    <x v="131"/>
    <x v="16"/>
  </r>
  <r>
    <x v="86"/>
    <x v="15"/>
    <x v="0"/>
    <x v="4"/>
    <x v="1"/>
    <x v="53"/>
    <x v="46"/>
    <x v="137"/>
    <x v="190"/>
    <x v="0"/>
    <x v="134"/>
    <x v="12"/>
    <x v="1"/>
    <x v="50"/>
    <x v="20"/>
    <x v="21"/>
    <x v="8"/>
    <x v="5"/>
    <x v="3"/>
    <x v="2"/>
    <x v="2"/>
    <x v="0"/>
    <x v="2"/>
    <x v="2"/>
    <x v="0"/>
    <x v="0"/>
    <x v="2"/>
    <x v="17"/>
    <x v="1"/>
    <x v="6"/>
    <x v="2"/>
    <x v="31"/>
    <x v="2"/>
    <x v="21"/>
    <x v="1"/>
    <x v="4"/>
    <x v="6"/>
    <x v="47"/>
    <x v="105"/>
    <x v="87"/>
    <x v="0"/>
    <x v="0"/>
    <x v="84"/>
    <x v="0"/>
    <x v="0"/>
    <x v="36"/>
    <x v="1"/>
    <x v="38"/>
    <x v="0"/>
    <x v="22"/>
    <x v="32"/>
    <x v="28"/>
    <x v="56"/>
    <x v="117"/>
    <x v="1"/>
    <x v="100"/>
    <x v="20"/>
    <x v="87"/>
    <x v="1"/>
    <x v="1"/>
    <x v="185"/>
    <x v="17"/>
  </r>
  <r>
    <x v="7"/>
    <x v="16"/>
    <x v="0"/>
    <x v="4"/>
    <x v="21"/>
    <x v="160"/>
    <x v="47"/>
    <x v="186"/>
    <x v="56"/>
    <x v="92"/>
    <x v="116"/>
    <x v="65"/>
    <x v="1"/>
    <x v="109"/>
    <x v="34"/>
    <x v="21"/>
    <x v="8"/>
    <x v="5"/>
    <x v="3"/>
    <x v="2"/>
    <x v="1"/>
    <x v="0"/>
    <x v="0"/>
    <x v="0"/>
    <x v="0"/>
    <x v="0"/>
    <x v="1"/>
    <x v="4"/>
    <x v="2"/>
    <x v="29"/>
    <x v="2"/>
    <x v="41"/>
    <x v="2"/>
    <x v="36"/>
    <x v="0"/>
    <x v="0"/>
    <x v="5"/>
    <x v="56"/>
    <x v="93"/>
    <x v="95"/>
    <x v="5"/>
    <x v="0"/>
    <x v="0"/>
    <x v="0"/>
    <x v="0"/>
    <x v="36"/>
    <x v="1"/>
    <x v="3"/>
    <x v="0"/>
    <x v="22"/>
    <x v="20"/>
    <x v="28"/>
    <x v="41"/>
    <x v="25"/>
    <x v="14"/>
    <x v="23"/>
    <x v="14"/>
    <x v="18"/>
    <x v="12"/>
    <x v="164"/>
    <x v="89"/>
    <x v="12"/>
  </r>
  <r>
    <x v="29"/>
    <x v="17"/>
    <x v="0"/>
    <x v="17"/>
    <x v="14"/>
    <x v="147"/>
    <x v="80"/>
    <x v="132"/>
    <x v="105"/>
    <x v="121"/>
    <x v="129"/>
    <x v="15"/>
    <x v="0"/>
    <x v="65"/>
    <x v="54"/>
    <x v="21"/>
    <x v="8"/>
    <x v="5"/>
    <x v="3"/>
    <x v="2"/>
    <x v="2"/>
    <x v="2"/>
    <x v="1"/>
    <x v="4"/>
    <x v="1"/>
    <x v="5"/>
    <x v="1"/>
    <x v="7"/>
    <x v="0"/>
    <x v="0"/>
    <x v="1"/>
    <x v="12"/>
    <x v="1"/>
    <x v="12"/>
    <x v="0"/>
    <x v="0"/>
    <x v="2"/>
    <x v="11"/>
    <x v="22"/>
    <x v="30"/>
    <x v="0"/>
    <x v="0"/>
    <x v="9"/>
    <x v="18"/>
    <x v="0"/>
    <x v="36"/>
    <x v="0"/>
    <x v="60"/>
    <x v="0"/>
    <x v="22"/>
    <x v="2"/>
    <x v="5"/>
    <x v="5"/>
    <x v="50"/>
    <x v="6"/>
    <x v="99"/>
    <x v="15"/>
    <x v="110"/>
    <x v="28"/>
    <x v="54"/>
    <x v="87"/>
    <x v="14"/>
  </r>
  <r>
    <x v="1"/>
    <x v="18"/>
    <x v="0"/>
    <x v="4"/>
    <x v="13"/>
    <x v="82"/>
    <x v="49"/>
    <x v="66"/>
    <x v="13"/>
    <x v="173"/>
    <x v="22"/>
    <x v="92"/>
    <x v="2"/>
    <x v="77"/>
    <x v="33"/>
    <x v="12"/>
    <x v="8"/>
    <x v="5"/>
    <x v="3"/>
    <x v="2"/>
    <x v="2"/>
    <x v="1"/>
    <x v="1"/>
    <x v="2"/>
    <x v="4"/>
    <x v="36"/>
    <x v="2"/>
    <x v="33"/>
    <x v="2"/>
    <x v="24"/>
    <x v="2"/>
    <x v="37"/>
    <x v="2"/>
    <x v="30"/>
    <x v="0"/>
    <x v="0"/>
    <x v="10"/>
    <x v="118"/>
    <x v="153"/>
    <x v="150"/>
    <x v="0"/>
    <x v="0"/>
    <x v="0"/>
    <x v="0"/>
    <x v="0"/>
    <x v="36"/>
    <x v="0"/>
    <x v="60"/>
    <x v="0"/>
    <x v="22"/>
    <x v="27"/>
    <x v="64"/>
    <x v="85"/>
    <x v="56"/>
    <x v="1"/>
    <x v="85"/>
    <x v="17"/>
    <x v="61"/>
    <x v="28"/>
    <x v="151"/>
    <x v="41"/>
    <x v="12"/>
  </r>
  <r>
    <x v="3"/>
    <x v="19"/>
    <x v="0"/>
    <x v="4"/>
    <x v="1"/>
    <x v="67"/>
    <x v="12"/>
    <x v="108"/>
    <x v="122"/>
    <x v="68"/>
    <x v="142"/>
    <x v="164"/>
    <x v="5"/>
    <x v="5"/>
    <x v="2"/>
    <x v="2"/>
    <x v="1"/>
    <x v="1"/>
    <x v="0"/>
    <x v="2"/>
    <x v="1"/>
    <x v="1"/>
    <x v="1"/>
    <x v="1"/>
    <x v="1"/>
    <x v="3"/>
    <x v="1"/>
    <x v="6"/>
    <x v="3"/>
    <x v="39"/>
    <x v="2"/>
    <x v="28"/>
    <x v="1"/>
    <x v="9"/>
    <x v="0"/>
    <x v="0"/>
    <x v="6"/>
    <x v="55"/>
    <x v="76"/>
    <x v="93"/>
    <x v="41"/>
    <x v="57"/>
    <x v="90"/>
    <x v="3"/>
    <x v="1"/>
    <x v="31"/>
    <x v="1"/>
    <x v="10"/>
    <x v="4"/>
    <x v="22"/>
    <x v="23"/>
    <x v="32"/>
    <x v="49"/>
    <x v="117"/>
    <x v="13"/>
    <x v="43"/>
    <x v="16"/>
    <x v="110"/>
    <x v="28"/>
    <x v="85"/>
    <x v="154"/>
    <x v="9"/>
  </r>
  <r>
    <x v="134"/>
    <x v="20"/>
    <x v="0"/>
    <x v="4"/>
    <x v="12"/>
    <x v="31"/>
    <x v="94"/>
    <x v="60"/>
    <x v="97"/>
    <x v="99"/>
    <x v="104"/>
    <x v="103"/>
    <x v="0"/>
    <x v="129"/>
    <x v="54"/>
    <x v="21"/>
    <x v="8"/>
    <x v="5"/>
    <x v="3"/>
    <x v="2"/>
    <x v="1"/>
    <x v="0"/>
    <x v="1"/>
    <x v="1"/>
    <x v="1"/>
    <x v="10"/>
    <x v="1"/>
    <x v="8"/>
    <x v="2"/>
    <x v="30"/>
    <x v="2"/>
    <x v="37"/>
    <x v="1"/>
    <x v="4"/>
    <x v="2"/>
    <x v="7"/>
    <x v="7"/>
    <x v="65"/>
    <x v="134"/>
    <x v="96"/>
    <x v="13"/>
    <x v="54"/>
    <x v="0"/>
    <x v="0"/>
    <x v="0"/>
    <x v="36"/>
    <x v="2"/>
    <x v="16"/>
    <x v="0"/>
    <x v="22"/>
    <x v="39"/>
    <x v="44"/>
    <x v="75"/>
    <x v="148"/>
    <x v="19"/>
    <x v="126"/>
    <x v="18"/>
    <x v="12"/>
    <x v="13"/>
    <x v="12"/>
    <x v="181"/>
    <x v="11"/>
  </r>
  <r>
    <x v="60"/>
    <x v="21"/>
    <x v="0"/>
    <x v="4"/>
    <x v="19"/>
    <x v="174"/>
    <x v="16"/>
    <x v="11"/>
    <x v="57"/>
    <x v="21"/>
    <x v="74"/>
    <x v="161"/>
    <x v="0"/>
    <x v="116"/>
    <x v="54"/>
    <x v="21"/>
    <x v="8"/>
    <x v="5"/>
    <x v="3"/>
    <x v="2"/>
    <x v="0"/>
    <x v="0"/>
    <x v="0"/>
    <x v="0"/>
    <x v="0"/>
    <x v="0"/>
    <x v="1"/>
    <x v="4"/>
    <x v="1"/>
    <x v="3"/>
    <x v="1"/>
    <x v="11"/>
    <x v="1"/>
    <x v="12"/>
    <x v="0"/>
    <x v="0"/>
    <x v="2"/>
    <x v="9"/>
    <x v="18"/>
    <x v="14"/>
    <x v="0"/>
    <x v="0"/>
    <x v="58"/>
    <x v="8"/>
    <x v="0"/>
    <x v="36"/>
    <x v="1"/>
    <x v="6"/>
    <x v="0"/>
    <x v="22"/>
    <x v="8"/>
    <x v="5"/>
    <x v="10"/>
    <x v="131"/>
    <x v="10"/>
    <x v="80"/>
    <x v="10"/>
    <x v="75"/>
    <x v="8"/>
    <x v="90"/>
    <x v="122"/>
    <x v="16"/>
  </r>
  <r>
    <x v="161"/>
    <x v="22"/>
    <x v="0"/>
    <x v="4"/>
    <x v="3"/>
    <x v="99"/>
    <x v="51"/>
    <x v="146"/>
    <x v="14"/>
    <x v="9"/>
    <x v="188"/>
    <x v="142"/>
    <x v="1"/>
    <x v="84"/>
    <x v="38"/>
    <x v="21"/>
    <x v="8"/>
    <x v="5"/>
    <x v="3"/>
    <x v="2"/>
    <x v="2"/>
    <x v="0"/>
    <x v="1"/>
    <x v="0"/>
    <x v="1"/>
    <x v="6"/>
    <x v="3"/>
    <x v="36"/>
    <x v="3"/>
    <x v="48"/>
    <x v="2"/>
    <x v="29"/>
    <x v="3"/>
    <x v="50"/>
    <x v="0"/>
    <x v="0"/>
    <x v="10"/>
    <x v="116"/>
    <x v="165"/>
    <x v="170"/>
    <x v="0"/>
    <x v="0"/>
    <x v="128"/>
    <x v="0"/>
    <x v="0"/>
    <x v="36"/>
    <x v="0"/>
    <x v="60"/>
    <x v="0"/>
    <x v="22"/>
    <x v="41"/>
    <x v="58"/>
    <x v="87"/>
    <x v="142"/>
    <x v="23"/>
    <x v="83"/>
    <x v="32"/>
    <x v="110"/>
    <x v="28"/>
    <x v="80"/>
    <x v="43"/>
    <x v="9"/>
  </r>
  <r>
    <x v="93"/>
    <x v="24"/>
    <x v="0"/>
    <x v="4"/>
    <x v="3"/>
    <x v="157"/>
    <x v="52"/>
    <x v="30"/>
    <x v="107"/>
    <x v="107"/>
    <x v="97"/>
    <x v="102"/>
    <x v="1"/>
    <x v="107"/>
    <x v="47"/>
    <x v="21"/>
    <x v="8"/>
    <x v="5"/>
    <x v="3"/>
    <x v="2"/>
    <x v="0"/>
    <x v="0"/>
    <x v="0"/>
    <x v="0"/>
    <x v="2"/>
    <x v="14"/>
    <x v="1"/>
    <x v="4"/>
    <x v="2"/>
    <x v="19"/>
    <x v="1"/>
    <x v="11"/>
    <x v="1"/>
    <x v="3"/>
    <x v="0"/>
    <x v="0"/>
    <x v="5"/>
    <x v="38"/>
    <x v="50"/>
    <x v="52"/>
    <x v="14"/>
    <x v="49"/>
    <x v="80"/>
    <x v="0"/>
    <x v="0"/>
    <x v="36"/>
    <x v="0"/>
    <x v="60"/>
    <x v="1"/>
    <x v="16"/>
    <x v="13"/>
    <x v="27"/>
    <x v="33"/>
    <x v="4"/>
    <x v="6"/>
    <x v="12"/>
    <x v="15"/>
    <x v="7"/>
    <x v="0"/>
    <x v="115"/>
    <x v="75"/>
    <x v="12"/>
  </r>
  <r>
    <x v="4"/>
    <x v="25"/>
    <x v="0"/>
    <x v="3"/>
    <x v="14"/>
    <x v="61"/>
    <x v="157"/>
    <x v="176"/>
    <x v="1"/>
    <x v="22"/>
    <x v="10"/>
    <x v="178"/>
    <x v="1"/>
    <x v="127"/>
    <x v="53"/>
    <x v="21"/>
    <x v="8"/>
    <x v="5"/>
    <x v="3"/>
    <x v="2"/>
    <x v="0"/>
    <x v="1"/>
    <x v="0"/>
    <x v="1"/>
    <x v="2"/>
    <x v="16"/>
    <x v="2"/>
    <x v="30"/>
    <x v="1"/>
    <x v="14"/>
    <x v="2"/>
    <x v="32"/>
    <x v="1"/>
    <x v="17"/>
    <x v="0"/>
    <x v="0"/>
    <x v="6"/>
    <x v="71"/>
    <x v="98"/>
    <x v="110"/>
    <x v="4"/>
    <x v="0"/>
    <x v="44"/>
    <x v="0"/>
    <x v="0"/>
    <x v="36"/>
    <x v="1"/>
    <x v="56"/>
    <x v="0"/>
    <x v="22"/>
    <x v="19"/>
    <x v="47"/>
    <x v="55"/>
    <x v="152"/>
    <x v="10"/>
    <x v="95"/>
    <x v="12"/>
    <x v="48"/>
    <x v="12"/>
    <x v="45"/>
    <x v="155"/>
    <x v="13"/>
  </r>
  <r>
    <x v="191"/>
    <x v="26"/>
    <x v="0"/>
    <x v="5"/>
    <x v="12"/>
    <x v="8"/>
    <x v="89"/>
    <x v="90"/>
    <x v="123"/>
    <x v="73"/>
    <x v="17"/>
    <x v="83"/>
    <x v="0"/>
    <x v="129"/>
    <x v="54"/>
    <x v="21"/>
    <x v="8"/>
    <x v="5"/>
    <x v="3"/>
    <x v="2"/>
    <x v="1"/>
    <x v="0"/>
    <x v="1"/>
    <x v="0"/>
    <x v="2"/>
    <x v="18"/>
    <x v="2"/>
    <x v="25"/>
    <x v="2"/>
    <x v="34"/>
    <x v="2"/>
    <x v="39"/>
    <x v="2"/>
    <x v="32"/>
    <x v="0"/>
    <x v="0"/>
    <x v="8"/>
    <x v="101"/>
    <x v="152"/>
    <x v="149"/>
    <x v="0"/>
    <x v="0"/>
    <x v="143"/>
    <x v="0"/>
    <x v="0"/>
    <x v="36"/>
    <x v="1"/>
    <x v="53"/>
    <x v="0"/>
    <x v="22"/>
    <x v="31"/>
    <x v="48"/>
    <x v="69"/>
    <x v="9"/>
    <x v="20"/>
    <x v="22"/>
    <x v="20"/>
    <x v="4"/>
    <x v="1"/>
    <x v="104"/>
    <x v="29"/>
    <x v="9"/>
  </r>
  <r>
    <x v="69"/>
    <x v="27"/>
    <x v="0"/>
    <x v="4"/>
    <x v="8"/>
    <x v="131"/>
    <x v="114"/>
    <x v="81"/>
    <x v="59"/>
    <x v="89"/>
    <x v="182"/>
    <x v="114"/>
    <x v="1"/>
    <x v="96"/>
    <x v="40"/>
    <x v="21"/>
    <x v="8"/>
    <x v="5"/>
    <x v="3"/>
    <x v="2"/>
    <x v="1"/>
    <x v="0"/>
    <x v="1"/>
    <x v="0"/>
    <x v="0"/>
    <x v="0"/>
    <x v="1"/>
    <x v="5"/>
    <x v="1"/>
    <x v="8"/>
    <x v="2"/>
    <x v="29"/>
    <x v="1"/>
    <x v="7"/>
    <x v="1"/>
    <x v="10"/>
    <x v="4"/>
    <x v="32"/>
    <x v="3"/>
    <x v="2"/>
    <x v="0"/>
    <x v="38"/>
    <x v="75"/>
    <x v="14"/>
    <x v="0"/>
    <x v="36"/>
    <x v="0"/>
    <x v="60"/>
    <x v="0"/>
    <x v="22"/>
    <x v="21"/>
    <x v="24"/>
    <x v="39"/>
    <x v="84"/>
    <x v="2"/>
    <x v="116"/>
    <x v="1"/>
    <x v="70"/>
    <x v="14"/>
    <x v="84"/>
    <x v="176"/>
    <x v="16"/>
  </r>
  <r>
    <x v="39"/>
    <x v="28"/>
    <x v="0"/>
    <x v="4"/>
    <x v="16"/>
    <x v="148"/>
    <x v="99"/>
    <x v="45"/>
    <x v="187"/>
    <x v="1"/>
    <x v="121"/>
    <x v="11"/>
    <x v="1"/>
    <x v="54"/>
    <x v="54"/>
    <x v="21"/>
    <x v="8"/>
    <x v="5"/>
    <x v="3"/>
    <x v="2"/>
    <x v="0"/>
    <x v="0"/>
    <x v="0"/>
    <x v="0"/>
    <x v="0"/>
    <x v="0"/>
    <x v="1"/>
    <x v="5"/>
    <x v="2"/>
    <x v="33"/>
    <x v="1"/>
    <x v="18"/>
    <x v="1"/>
    <x v="12"/>
    <x v="0"/>
    <x v="0"/>
    <x v="3"/>
    <x v="28"/>
    <x v="52"/>
    <x v="40"/>
    <x v="0"/>
    <x v="45"/>
    <x v="73"/>
    <x v="0"/>
    <x v="0"/>
    <x v="36"/>
    <x v="0"/>
    <x v="0"/>
    <x v="0"/>
    <x v="22"/>
    <x v="12"/>
    <x v="14"/>
    <x v="21"/>
    <x v="109"/>
    <x v="2"/>
    <x v="93"/>
    <x v="8"/>
    <x v="57"/>
    <x v="6"/>
    <x v="145"/>
    <x v="72"/>
    <x v="15"/>
  </r>
  <r>
    <x v="100"/>
    <x v="29"/>
    <x v="0"/>
    <x v="5"/>
    <x v="7"/>
    <x v="18"/>
    <x v="61"/>
    <x v="155"/>
    <x v="185"/>
    <x v="173"/>
    <x v="1"/>
    <x v="86"/>
    <x v="1"/>
    <x v="111"/>
    <x v="54"/>
    <x v="21"/>
    <x v="8"/>
    <x v="5"/>
    <x v="3"/>
    <x v="2"/>
    <x v="0"/>
    <x v="0"/>
    <x v="0"/>
    <x v="0"/>
    <x v="0"/>
    <x v="0"/>
    <x v="2"/>
    <x v="18"/>
    <x v="2"/>
    <x v="29"/>
    <x v="2"/>
    <x v="32"/>
    <x v="2"/>
    <x v="25"/>
    <x v="0"/>
    <x v="0"/>
    <x v="6"/>
    <x v="57"/>
    <x v="87"/>
    <x v="79"/>
    <x v="0"/>
    <x v="0"/>
    <x v="0"/>
    <x v="0"/>
    <x v="4"/>
    <x v="25"/>
    <x v="2"/>
    <x v="42"/>
    <x v="4"/>
    <x v="22"/>
    <x v="28"/>
    <x v="33"/>
    <x v="57"/>
    <x v="20"/>
    <x v="14"/>
    <x v="6"/>
    <x v="14"/>
    <x v="2"/>
    <x v="0"/>
    <x v="135"/>
    <x v="31"/>
    <x v="15"/>
  </r>
  <r>
    <x v="15"/>
    <x v="30"/>
    <x v="0"/>
    <x v="4"/>
    <x v="23"/>
    <x v="123"/>
    <x v="115"/>
    <x v="86"/>
    <x v="36"/>
    <x v="18"/>
    <x v="181"/>
    <x v="128"/>
    <x v="6"/>
    <x v="47"/>
    <x v="18"/>
    <x v="4"/>
    <x v="2"/>
    <x v="2"/>
    <x v="1"/>
    <x v="0"/>
    <x v="2"/>
    <x v="1"/>
    <x v="2"/>
    <x v="0"/>
    <x v="1"/>
    <x v="9"/>
    <x v="4"/>
    <x v="49"/>
    <x v="2"/>
    <x v="29"/>
    <x v="3"/>
    <x v="49"/>
    <x v="2"/>
    <x v="36"/>
    <x v="0"/>
    <x v="0"/>
    <x v="10"/>
    <x v="120"/>
    <x v="167"/>
    <x v="165"/>
    <x v="0"/>
    <x v="0"/>
    <x v="163"/>
    <x v="29"/>
    <x v="0"/>
    <x v="36"/>
    <x v="2"/>
    <x v="12"/>
    <x v="0"/>
    <x v="22"/>
    <x v="45"/>
    <x v="50"/>
    <x v="84"/>
    <x v="49"/>
    <x v="12"/>
    <x v="42"/>
    <x v="25"/>
    <x v="33"/>
    <x v="4"/>
    <x v="47"/>
    <x v="98"/>
    <x v="14"/>
  </r>
  <r>
    <x v="125"/>
    <x v="31"/>
    <x v="0"/>
    <x v="5"/>
    <x v="7"/>
    <x v="17"/>
    <x v="54"/>
    <x v="26"/>
    <x v="88"/>
    <x v="33"/>
    <x v="170"/>
    <x v="151"/>
    <x v="1"/>
    <x v="33"/>
    <x v="14"/>
    <x v="21"/>
    <x v="8"/>
    <x v="5"/>
    <x v="3"/>
    <x v="2"/>
    <x v="0"/>
    <x v="0"/>
    <x v="0"/>
    <x v="0"/>
    <x v="1"/>
    <x v="8"/>
    <x v="2"/>
    <x v="22"/>
    <x v="3"/>
    <x v="48"/>
    <x v="2"/>
    <x v="34"/>
    <x v="2"/>
    <x v="29"/>
    <x v="0"/>
    <x v="0"/>
    <x v="8"/>
    <x v="97"/>
    <x v="136"/>
    <x v="134"/>
    <x v="0"/>
    <x v="0"/>
    <x v="43"/>
    <x v="0"/>
    <x v="0"/>
    <x v="36"/>
    <x v="0"/>
    <x v="60"/>
    <x v="0"/>
    <x v="22"/>
    <x v="37"/>
    <x v="47"/>
    <x v="74"/>
    <x v="118"/>
    <x v="18"/>
    <x v="101"/>
    <x v="18"/>
    <x v="110"/>
    <x v="28"/>
    <x v="98"/>
    <x v="118"/>
    <x v="12"/>
  </r>
  <r>
    <x v="76"/>
    <x v="32"/>
    <x v="0"/>
    <x v="4"/>
    <x v="23"/>
    <x v="87"/>
    <x v="55"/>
    <x v="49"/>
    <x v="15"/>
    <x v="2"/>
    <x v="7"/>
    <x v="1"/>
    <x v="2"/>
    <x v="78"/>
    <x v="46"/>
    <x v="17"/>
    <x v="8"/>
    <x v="5"/>
    <x v="3"/>
    <x v="2"/>
    <x v="0"/>
    <x v="0"/>
    <x v="0"/>
    <x v="0"/>
    <x v="0"/>
    <x v="0"/>
    <x v="2"/>
    <x v="25"/>
    <x v="1"/>
    <x v="9"/>
    <x v="1"/>
    <x v="15"/>
    <x v="2"/>
    <x v="48"/>
    <x v="0"/>
    <x v="0"/>
    <x v="4"/>
    <x v="50"/>
    <x v="101"/>
    <x v="74"/>
    <x v="29"/>
    <x v="0"/>
    <x v="141"/>
    <x v="0"/>
    <x v="1"/>
    <x v="32"/>
    <x v="1"/>
    <x v="51"/>
    <x v="0"/>
    <x v="22"/>
    <x v="16"/>
    <x v="16"/>
    <x v="28"/>
    <x v="155"/>
    <x v="13"/>
    <x v="105"/>
    <x v="13"/>
    <x v="110"/>
    <x v="28"/>
    <x v="9"/>
    <x v="114"/>
    <x v="16"/>
  </r>
  <r>
    <x v="151"/>
    <x v="34"/>
    <x v="0"/>
    <x v="4"/>
    <x v="7"/>
    <x v="173"/>
    <x v="56"/>
    <x v="154"/>
    <x v="175"/>
    <x v="173"/>
    <x v="164"/>
    <x v="50"/>
    <x v="0"/>
    <x v="115"/>
    <x v="54"/>
    <x v="21"/>
    <x v="8"/>
    <x v="5"/>
    <x v="3"/>
    <x v="2"/>
    <x v="0"/>
    <x v="0"/>
    <x v="0"/>
    <x v="0"/>
    <x v="0"/>
    <x v="0"/>
    <x v="1"/>
    <x v="5"/>
    <x v="1"/>
    <x v="9"/>
    <x v="1"/>
    <x v="12"/>
    <x v="1"/>
    <x v="3"/>
    <x v="0"/>
    <x v="0"/>
    <x v="2"/>
    <x v="8"/>
    <x v="14"/>
    <x v="12"/>
    <x v="0"/>
    <x v="0"/>
    <x v="23"/>
    <x v="0"/>
    <x v="0"/>
    <x v="36"/>
    <x v="0"/>
    <x v="60"/>
    <x v="0"/>
    <x v="22"/>
    <x v="6"/>
    <x v="8"/>
    <x v="12"/>
    <x v="43"/>
    <x v="9"/>
    <x v="34"/>
    <x v="5"/>
    <x v="110"/>
    <x v="28"/>
    <x v="101"/>
    <x v="11"/>
    <x v="9"/>
  </r>
  <r>
    <x v="136"/>
    <x v="35"/>
    <x v="0"/>
    <x v="18"/>
    <x v="14"/>
    <x v="170"/>
    <x v="17"/>
    <x v="188"/>
    <x v="26"/>
    <x v="173"/>
    <x v="15"/>
    <x v="37"/>
    <x v="1"/>
    <x v="66"/>
    <x v="29"/>
    <x v="21"/>
    <x v="8"/>
    <x v="5"/>
    <x v="3"/>
    <x v="2"/>
    <x v="1"/>
    <x v="0"/>
    <x v="0"/>
    <x v="1"/>
    <x v="0"/>
    <x v="0"/>
    <x v="3"/>
    <x v="46"/>
    <x v="1"/>
    <x v="8"/>
    <x v="2"/>
    <x v="28"/>
    <x v="1"/>
    <x v="9"/>
    <x v="0"/>
    <x v="0"/>
    <x v="5"/>
    <x v="52"/>
    <x v="37"/>
    <x v="67"/>
    <x v="0"/>
    <x v="0"/>
    <x v="7"/>
    <x v="0"/>
    <x v="0"/>
    <x v="36"/>
    <x v="2"/>
    <x v="60"/>
    <x v="0"/>
    <x v="22"/>
    <x v="20"/>
    <x v="20"/>
    <x v="37"/>
    <x v="120"/>
    <x v="9"/>
    <x v="91"/>
    <x v="1"/>
    <x v="104"/>
    <x v="0"/>
    <x v="49"/>
    <x v="109"/>
    <x v="9"/>
  </r>
  <r>
    <x v="104"/>
    <x v="36"/>
    <x v="0"/>
    <x v="4"/>
    <x v="4"/>
    <x v="129"/>
    <x v="57"/>
    <x v="59"/>
    <x v="16"/>
    <x v="23"/>
    <x v="18"/>
    <x v="40"/>
    <x v="0"/>
    <x v="27"/>
    <x v="54"/>
    <x v="21"/>
    <x v="8"/>
    <x v="5"/>
    <x v="3"/>
    <x v="2"/>
    <x v="0"/>
    <x v="1"/>
    <x v="1"/>
    <x v="0"/>
    <x v="0"/>
    <x v="0"/>
    <x v="1"/>
    <x v="7"/>
    <x v="3"/>
    <x v="50"/>
    <x v="2"/>
    <x v="36"/>
    <x v="1"/>
    <x v="9"/>
    <x v="0"/>
    <x v="0"/>
    <x v="5"/>
    <x v="58"/>
    <x v="86"/>
    <x v="94"/>
    <x v="0"/>
    <x v="0"/>
    <x v="41"/>
    <x v="0"/>
    <x v="0"/>
    <x v="36"/>
    <x v="2"/>
    <x v="59"/>
    <x v="1"/>
    <x v="12"/>
    <x v="20"/>
    <x v="24"/>
    <x v="38"/>
    <x v="70"/>
    <x v="1"/>
    <x v="106"/>
    <x v="17"/>
    <x v="78"/>
    <x v="13"/>
    <x v="99"/>
    <x v="180"/>
    <x v="21"/>
  </r>
  <r>
    <x v="53"/>
    <x v="37"/>
    <x v="0"/>
    <x v="4"/>
    <x v="8"/>
    <x v="180"/>
    <x v="58"/>
    <x v="80"/>
    <x v="100"/>
    <x v="102"/>
    <x v="79"/>
    <x v="171"/>
    <x v="0"/>
    <x v="129"/>
    <x v="54"/>
    <x v="21"/>
    <x v="8"/>
    <x v="5"/>
    <x v="3"/>
    <x v="2"/>
    <x v="2"/>
    <x v="0"/>
    <x v="0"/>
    <x v="1"/>
    <x v="0"/>
    <x v="0"/>
    <x v="2"/>
    <x v="14"/>
    <x v="2"/>
    <x v="15"/>
    <x v="2"/>
    <x v="21"/>
    <x v="2"/>
    <x v="15"/>
    <x v="0"/>
    <x v="0"/>
    <x v="6"/>
    <x v="22"/>
    <x v="95"/>
    <x v="43"/>
    <x v="0"/>
    <x v="0"/>
    <x v="16"/>
    <x v="0"/>
    <x v="0"/>
    <x v="36"/>
    <x v="1"/>
    <x v="2"/>
    <x v="0"/>
    <x v="22"/>
    <x v="42"/>
    <x v="22"/>
    <x v="62"/>
    <x v="19"/>
    <x v="13"/>
    <x v="14"/>
    <x v="18"/>
    <x v="3"/>
    <x v="13"/>
    <x v="46"/>
    <x v="128"/>
    <x v="15"/>
  </r>
  <r>
    <x v="122"/>
    <x v="38"/>
    <x v="0"/>
    <x v="2"/>
    <x v="14"/>
    <x v="103"/>
    <x v="79"/>
    <x v="174"/>
    <x v="94"/>
    <x v="11"/>
    <x v="35"/>
    <x v="175"/>
    <x v="0"/>
    <x v="129"/>
    <x v="54"/>
    <x v="21"/>
    <x v="8"/>
    <x v="5"/>
    <x v="3"/>
    <x v="2"/>
    <x v="0"/>
    <x v="0"/>
    <x v="0"/>
    <x v="0"/>
    <x v="1"/>
    <x v="4"/>
    <x v="2"/>
    <x v="17"/>
    <x v="1"/>
    <x v="7"/>
    <x v="1"/>
    <x v="4"/>
    <x v="1"/>
    <x v="1"/>
    <x v="0"/>
    <x v="0"/>
    <x v="4"/>
    <x v="17"/>
    <x v="8"/>
    <x v="9"/>
    <x v="0"/>
    <x v="0"/>
    <x v="0"/>
    <x v="6"/>
    <x v="0"/>
    <x v="36"/>
    <x v="0"/>
    <x v="60"/>
    <x v="0"/>
    <x v="22"/>
    <x v="1"/>
    <x v="3"/>
    <x v="3"/>
    <x v="13"/>
    <x v="1"/>
    <x v="5"/>
    <x v="5"/>
    <x v="13"/>
    <x v="4"/>
    <x v="171"/>
    <x v="40"/>
    <x v="12"/>
  </r>
  <r>
    <x v="108"/>
    <x v="39"/>
    <x v="0"/>
    <x v="4"/>
    <x v="8"/>
    <x v="2"/>
    <x v="59"/>
    <x v="44"/>
    <x v="17"/>
    <x v="74"/>
    <x v="175"/>
    <x v="130"/>
    <x v="0"/>
    <x v="129"/>
    <x v="54"/>
    <x v="21"/>
    <x v="8"/>
    <x v="5"/>
    <x v="3"/>
    <x v="2"/>
    <x v="1"/>
    <x v="0"/>
    <x v="1"/>
    <x v="3"/>
    <x v="0"/>
    <x v="40"/>
    <x v="1"/>
    <x v="5"/>
    <x v="2"/>
    <x v="30"/>
    <x v="2"/>
    <x v="30"/>
    <x v="1"/>
    <x v="10"/>
    <x v="1"/>
    <x v="18"/>
    <x v="5"/>
    <x v="39"/>
    <x v="60"/>
    <x v="72"/>
    <x v="0"/>
    <x v="28"/>
    <x v="150"/>
    <x v="0"/>
    <x v="0"/>
    <x v="36"/>
    <x v="2"/>
    <x v="29"/>
    <x v="0"/>
    <x v="22"/>
    <x v="16"/>
    <x v="19"/>
    <x v="31"/>
    <x v="85"/>
    <x v="14"/>
    <x v="89"/>
    <x v="2"/>
    <x v="76"/>
    <x v="0"/>
    <x v="136"/>
    <x v="161"/>
    <x v="9"/>
  </r>
  <r>
    <x v="66"/>
    <x v="40"/>
    <x v="0"/>
    <x v="4"/>
    <x v="13"/>
    <x v="162"/>
    <x v="117"/>
    <x v="190"/>
    <x v="60"/>
    <x v="173"/>
    <x v="171"/>
    <x v="93"/>
    <x v="1"/>
    <x v="79"/>
    <x v="54"/>
    <x v="21"/>
    <x v="8"/>
    <x v="5"/>
    <x v="3"/>
    <x v="2"/>
    <x v="0"/>
    <x v="0"/>
    <x v="0"/>
    <x v="0"/>
    <x v="2"/>
    <x v="19"/>
    <x v="2"/>
    <x v="38"/>
    <x v="2"/>
    <x v="32"/>
    <x v="1"/>
    <x v="15"/>
    <x v="1"/>
    <x v="13"/>
    <x v="0"/>
    <x v="0"/>
    <x v="6"/>
    <x v="80"/>
    <x v="122"/>
    <x v="129"/>
    <x v="0"/>
    <x v="0"/>
    <x v="39"/>
    <x v="0"/>
    <x v="0"/>
    <x v="36"/>
    <x v="0"/>
    <x v="60"/>
    <x v="0"/>
    <x v="22"/>
    <x v="19"/>
    <x v="48"/>
    <x v="56"/>
    <x v="156"/>
    <x v="33"/>
    <x v="141"/>
    <x v="34"/>
    <x v="110"/>
    <x v="28"/>
    <x v="88"/>
    <x v="50"/>
    <x v="16"/>
  </r>
  <r>
    <x v="43"/>
    <x v="41"/>
    <x v="0"/>
    <x v="4"/>
    <x v="2"/>
    <x v="64"/>
    <x v="182"/>
    <x v="41"/>
    <x v="61"/>
    <x v="34"/>
    <x v="71"/>
    <x v="98"/>
    <x v="1"/>
    <x v="129"/>
    <x v="54"/>
    <x v="21"/>
    <x v="8"/>
    <x v="5"/>
    <x v="3"/>
    <x v="2"/>
    <x v="0"/>
    <x v="0"/>
    <x v="1"/>
    <x v="1"/>
    <x v="1"/>
    <x v="5"/>
    <x v="1"/>
    <x v="6"/>
    <x v="2"/>
    <x v="24"/>
    <x v="2"/>
    <x v="26"/>
    <x v="2"/>
    <x v="32"/>
    <x v="0"/>
    <x v="0"/>
    <x v="6"/>
    <x v="57"/>
    <x v="75"/>
    <x v="113"/>
    <x v="0"/>
    <x v="25"/>
    <x v="87"/>
    <x v="0"/>
    <x v="0"/>
    <x v="36"/>
    <x v="0"/>
    <x v="60"/>
    <x v="0"/>
    <x v="22"/>
    <x v="26"/>
    <x v="31"/>
    <x v="50"/>
    <x v="34"/>
    <x v="3"/>
    <x v="99"/>
    <x v="28"/>
    <x v="32"/>
    <x v="27"/>
    <x v="82"/>
    <x v="101"/>
    <x v="15"/>
  </r>
  <r>
    <x v="135"/>
    <x v="42"/>
    <x v="0"/>
    <x v="4"/>
    <x v="11"/>
    <x v="79"/>
    <x v="60"/>
    <x v="105"/>
    <x v="193"/>
    <x v="173"/>
    <x v="53"/>
    <x v="156"/>
    <x v="1"/>
    <x v="102"/>
    <x v="54"/>
    <x v="21"/>
    <x v="8"/>
    <x v="5"/>
    <x v="3"/>
    <x v="2"/>
    <x v="0"/>
    <x v="0"/>
    <x v="1"/>
    <x v="0"/>
    <x v="1"/>
    <x v="7"/>
    <x v="2"/>
    <x v="28"/>
    <x v="2"/>
    <x v="26"/>
    <x v="3"/>
    <x v="52"/>
    <x v="2"/>
    <x v="39"/>
    <x v="2"/>
    <x v="6"/>
    <x v="10"/>
    <x v="112"/>
    <x v="147"/>
    <x v="81"/>
    <x v="0"/>
    <x v="0"/>
    <x v="105"/>
    <x v="0"/>
    <x v="0"/>
    <x v="36"/>
    <x v="0"/>
    <x v="60"/>
    <x v="0"/>
    <x v="22"/>
    <x v="39"/>
    <x v="52"/>
    <x v="81"/>
    <x v="134"/>
    <x v="22"/>
    <x v="141"/>
    <x v="34"/>
    <x v="110"/>
    <x v="28"/>
    <x v="7"/>
    <x v="111"/>
    <x v="9"/>
  </r>
  <r>
    <x v="140"/>
    <x v="44"/>
    <x v="0"/>
    <x v="11"/>
    <x v="9"/>
    <x v="80"/>
    <x v="190"/>
    <x v="99"/>
    <x v="62"/>
    <x v="159"/>
    <x v="163"/>
    <x v="137"/>
    <x v="0"/>
    <x v="62"/>
    <x v="54"/>
    <x v="21"/>
    <x v="8"/>
    <x v="5"/>
    <x v="3"/>
    <x v="2"/>
    <x v="0"/>
    <x v="0"/>
    <x v="1"/>
    <x v="1"/>
    <x v="1"/>
    <x v="5"/>
    <x v="1"/>
    <x v="9"/>
    <x v="1"/>
    <x v="1"/>
    <x v="5"/>
    <x v="1"/>
    <x v="1"/>
    <x v="2"/>
    <x v="3"/>
    <x v="18"/>
    <x v="2"/>
    <x v="5"/>
    <x v="12"/>
    <x v="11"/>
    <x v="0"/>
    <x v="0"/>
    <x v="10"/>
    <x v="0"/>
    <x v="4"/>
    <x v="36"/>
    <x v="7"/>
    <x v="60"/>
    <x v="4"/>
    <x v="22"/>
    <x v="3"/>
    <x v="8"/>
    <x v="7"/>
    <x v="136"/>
    <x v="2"/>
    <x v="120"/>
    <x v="7"/>
    <x v="110"/>
    <x v="28"/>
    <x v="58"/>
    <x v="28"/>
    <x v="8"/>
  </r>
  <r>
    <x v="9"/>
    <x v="45"/>
    <x v="0"/>
    <x v="4"/>
    <x v="10"/>
    <x v="168"/>
    <x v="62"/>
    <x v="151"/>
    <x v="63"/>
    <x v="35"/>
    <x v="16"/>
    <x v="166"/>
    <x v="1"/>
    <x v="114"/>
    <x v="5"/>
    <x v="21"/>
    <x v="8"/>
    <x v="5"/>
    <x v="3"/>
    <x v="2"/>
    <x v="0"/>
    <x v="0"/>
    <x v="0"/>
    <x v="0"/>
    <x v="0"/>
    <x v="0"/>
    <x v="2"/>
    <x v="22"/>
    <x v="2"/>
    <x v="16"/>
    <x v="2"/>
    <x v="27"/>
    <x v="3"/>
    <x v="56"/>
    <x v="0"/>
    <x v="0"/>
    <x v="7"/>
    <x v="66"/>
    <x v="160"/>
    <x v="99"/>
    <x v="34"/>
    <x v="23"/>
    <x v="149"/>
    <x v="0"/>
    <x v="1"/>
    <x v="28"/>
    <x v="1"/>
    <x v="44"/>
    <x v="1"/>
    <x v="21"/>
    <x v="43"/>
    <x v="29"/>
    <x v="68"/>
    <x v="106"/>
    <x v="18"/>
    <x v="139"/>
    <x v="24"/>
    <x v="110"/>
    <x v="28"/>
    <x v="87"/>
    <x v="156"/>
    <x v="13"/>
  </r>
  <r>
    <x v="96"/>
    <x v="46"/>
    <x v="0"/>
    <x v="4"/>
    <x v="8"/>
    <x v="3"/>
    <x v="48"/>
    <x v="83"/>
    <x v="38"/>
    <x v="173"/>
    <x v="67"/>
    <x v="180"/>
    <x v="2"/>
    <x v="124"/>
    <x v="4"/>
    <x v="21"/>
    <x v="8"/>
    <x v="5"/>
    <x v="3"/>
    <x v="2"/>
    <x v="1"/>
    <x v="0"/>
    <x v="1"/>
    <x v="2"/>
    <x v="0"/>
    <x v="0"/>
    <x v="3"/>
    <x v="41"/>
    <x v="2"/>
    <x v="27"/>
    <x v="2"/>
    <x v="35"/>
    <x v="1"/>
    <x v="18"/>
    <x v="3"/>
    <x v="18"/>
    <x v="6"/>
    <x v="69"/>
    <x v="92"/>
    <x v="111"/>
    <x v="41"/>
    <x v="57"/>
    <x v="166"/>
    <x v="0"/>
    <x v="0"/>
    <x v="36"/>
    <x v="0"/>
    <x v="60"/>
    <x v="0"/>
    <x v="22"/>
    <x v="24"/>
    <x v="28"/>
    <x v="46"/>
    <x v="88"/>
    <x v="14"/>
    <x v="134"/>
    <x v="2"/>
    <x v="40"/>
    <x v="1"/>
    <x v="173"/>
    <x v="84"/>
    <x v="22"/>
  </r>
  <r>
    <x v="126"/>
    <x v="47"/>
    <x v="0"/>
    <x v="6"/>
    <x v="17"/>
    <x v="175"/>
    <x v="78"/>
    <x v="177"/>
    <x v="33"/>
    <x v="36"/>
    <x v="20"/>
    <x v="33"/>
    <x v="1"/>
    <x v="58"/>
    <x v="27"/>
    <x v="21"/>
    <x v="8"/>
    <x v="5"/>
    <x v="3"/>
    <x v="2"/>
    <x v="1"/>
    <x v="0"/>
    <x v="0"/>
    <x v="2"/>
    <x v="0"/>
    <x v="0"/>
    <x v="1"/>
    <x v="12"/>
    <x v="1"/>
    <x v="13"/>
    <x v="1"/>
    <x v="9"/>
    <x v="1"/>
    <x v="7"/>
    <x v="1"/>
    <x v="5"/>
    <x v="3"/>
    <x v="18"/>
    <x v="34"/>
    <x v="28"/>
    <x v="0"/>
    <x v="0"/>
    <x v="12"/>
    <x v="0"/>
    <x v="0"/>
    <x v="36"/>
    <x v="0"/>
    <x v="60"/>
    <x v="0"/>
    <x v="22"/>
    <x v="12"/>
    <x v="12"/>
    <x v="19"/>
    <x v="121"/>
    <x v="10"/>
    <x v="27"/>
    <x v="6"/>
    <x v="62"/>
    <x v="6"/>
    <x v="70"/>
    <x v="183"/>
    <x v="12"/>
  </r>
  <r>
    <x v="35"/>
    <x v="48"/>
    <x v="0"/>
    <x v="5"/>
    <x v="6"/>
    <x v="15"/>
    <x v="160"/>
    <x v="17"/>
    <x v="159"/>
    <x v="173"/>
    <x v="130"/>
    <x v="89"/>
    <x v="0"/>
    <x v="32"/>
    <x v="54"/>
    <x v="21"/>
    <x v="8"/>
    <x v="5"/>
    <x v="3"/>
    <x v="2"/>
    <x v="1"/>
    <x v="0"/>
    <x v="0"/>
    <x v="1"/>
    <x v="3"/>
    <x v="32"/>
    <x v="3"/>
    <x v="42"/>
    <x v="3"/>
    <x v="46"/>
    <x v="2"/>
    <x v="35"/>
    <x v="2"/>
    <x v="34"/>
    <x v="0"/>
    <x v="0"/>
    <x v="11"/>
    <x v="132"/>
    <x v="183"/>
    <x v="178"/>
    <x v="0"/>
    <x v="0"/>
    <x v="125"/>
    <x v="0"/>
    <x v="0"/>
    <x v="36"/>
    <x v="1"/>
    <x v="40"/>
    <x v="0"/>
    <x v="22"/>
    <x v="40"/>
    <x v="60"/>
    <x v="89"/>
    <x v="147"/>
    <x v="21"/>
    <x v="92"/>
    <x v="23"/>
    <x v="110"/>
    <x v="28"/>
    <x v="68"/>
    <x v="17"/>
    <x v="14"/>
  </r>
  <r>
    <x v="150"/>
    <x v="49"/>
    <x v="0"/>
    <x v="4"/>
    <x v="8"/>
    <x v="1"/>
    <x v="110"/>
    <x v="28"/>
    <x v="18"/>
    <x v="132"/>
    <x v="92"/>
    <x v="180"/>
    <x v="0"/>
    <x v="129"/>
    <x v="54"/>
    <x v="21"/>
    <x v="8"/>
    <x v="5"/>
    <x v="3"/>
    <x v="2"/>
    <x v="0"/>
    <x v="0"/>
    <x v="0"/>
    <x v="0"/>
    <x v="0"/>
    <x v="0"/>
    <x v="1"/>
    <x v="4"/>
    <x v="1"/>
    <x v="7"/>
    <x v="1"/>
    <x v="7"/>
    <x v="1"/>
    <x v="9"/>
    <x v="0"/>
    <x v="0"/>
    <x v="2"/>
    <x v="7"/>
    <x v="19"/>
    <x v="18"/>
    <x v="0"/>
    <x v="0"/>
    <x v="25"/>
    <x v="0"/>
    <x v="0"/>
    <x v="36"/>
    <x v="1"/>
    <x v="10"/>
    <x v="0"/>
    <x v="22"/>
    <x v="4"/>
    <x v="8"/>
    <x v="9"/>
    <x v="65"/>
    <x v="4"/>
    <x v="140"/>
    <x v="2"/>
    <x v="54"/>
    <x v="0"/>
    <x v="149"/>
    <x v="61"/>
    <x v="12"/>
  </r>
  <r>
    <x v="87"/>
    <x v="50"/>
    <x v="0"/>
    <x v="4"/>
    <x v="9"/>
    <x v="51"/>
    <x v="64"/>
    <x v="127"/>
    <x v="39"/>
    <x v="133"/>
    <x v="95"/>
    <x v="99"/>
    <x v="0"/>
    <x v="53"/>
    <x v="54"/>
    <x v="21"/>
    <x v="8"/>
    <x v="5"/>
    <x v="3"/>
    <x v="2"/>
    <x v="0"/>
    <x v="0"/>
    <x v="1"/>
    <x v="1"/>
    <x v="0"/>
    <x v="0"/>
    <x v="1"/>
    <x v="3"/>
    <x v="1"/>
    <x v="8"/>
    <x v="1"/>
    <x v="5"/>
    <x v="1"/>
    <x v="12"/>
    <x v="0"/>
    <x v="0"/>
    <x v="2"/>
    <x v="7"/>
    <x v="20"/>
    <x v="16"/>
    <x v="0"/>
    <x v="0"/>
    <x v="24"/>
    <x v="10"/>
    <x v="0"/>
    <x v="36"/>
    <x v="0"/>
    <x v="60"/>
    <x v="0"/>
    <x v="22"/>
    <x v="5"/>
    <x v="5"/>
    <x v="8"/>
    <x v="72"/>
    <x v="1"/>
    <x v="57"/>
    <x v="9"/>
    <x v="110"/>
    <x v="28"/>
    <x v="95"/>
    <x v="53"/>
    <x v="15"/>
  </r>
  <r>
    <x v="97"/>
    <x v="51"/>
    <x v="0"/>
    <x v="10"/>
    <x v="9"/>
    <x v="178"/>
    <x v="145"/>
    <x v="98"/>
    <x v="64"/>
    <x v="123"/>
    <x v="150"/>
    <x v="172"/>
    <x v="4"/>
    <x v="67"/>
    <x v="54"/>
    <x v="21"/>
    <x v="8"/>
    <x v="5"/>
    <x v="3"/>
    <x v="2"/>
    <x v="0"/>
    <x v="0"/>
    <x v="0"/>
    <x v="0"/>
    <x v="0"/>
    <x v="0"/>
    <x v="2"/>
    <x v="24"/>
    <x v="0"/>
    <x v="0"/>
    <x v="0"/>
    <x v="0"/>
    <x v="0"/>
    <x v="0"/>
    <x v="2"/>
    <x v="16"/>
    <x v="2"/>
    <x v="7"/>
    <x v="13"/>
    <x v="25"/>
    <x v="7"/>
    <x v="0"/>
    <x v="0"/>
    <x v="0"/>
    <x v="1"/>
    <x v="3"/>
    <x v="0"/>
    <x v="60"/>
    <x v="0"/>
    <x v="22"/>
    <x v="5"/>
    <x v="6"/>
    <x v="9"/>
    <x v="137"/>
    <x v="14"/>
    <x v="141"/>
    <x v="34"/>
    <x v="110"/>
    <x v="28"/>
    <x v="110"/>
    <x v="85"/>
    <x v="22"/>
  </r>
  <r>
    <x v="20"/>
    <x v="52"/>
    <x v="0"/>
    <x v="4"/>
    <x v="18"/>
    <x v="84"/>
    <x v="50"/>
    <x v="118"/>
    <x v="6"/>
    <x v="37"/>
    <x v="110"/>
    <x v="7"/>
    <x v="0"/>
    <x v="22"/>
    <x v="54"/>
    <x v="21"/>
    <x v="8"/>
    <x v="5"/>
    <x v="3"/>
    <x v="2"/>
    <x v="0"/>
    <x v="0"/>
    <x v="0"/>
    <x v="0"/>
    <x v="0"/>
    <x v="0"/>
    <x v="1"/>
    <x v="4"/>
    <x v="1"/>
    <x v="8"/>
    <x v="1"/>
    <x v="13"/>
    <x v="1"/>
    <x v="13"/>
    <x v="0"/>
    <x v="0"/>
    <x v="2"/>
    <x v="15"/>
    <x v="25"/>
    <x v="23"/>
    <x v="0"/>
    <x v="44"/>
    <x v="32"/>
    <x v="0"/>
    <x v="0"/>
    <x v="36"/>
    <x v="0"/>
    <x v="60"/>
    <x v="0"/>
    <x v="22"/>
    <x v="7"/>
    <x v="9"/>
    <x v="14"/>
    <x v="86"/>
    <x v="6"/>
    <x v="141"/>
    <x v="34"/>
    <x v="110"/>
    <x v="28"/>
    <x v="178"/>
    <x v="57"/>
    <x v="14"/>
  </r>
  <r>
    <x v="185"/>
    <x v="53"/>
    <x v="0"/>
    <x v="4"/>
    <x v="19"/>
    <x v="130"/>
    <x v="83"/>
    <x v="116"/>
    <x v="19"/>
    <x v="173"/>
    <x v="19"/>
    <x v="74"/>
    <x v="1"/>
    <x v="119"/>
    <x v="54"/>
    <x v="21"/>
    <x v="8"/>
    <x v="5"/>
    <x v="3"/>
    <x v="2"/>
    <x v="0"/>
    <x v="0"/>
    <x v="0"/>
    <x v="0"/>
    <x v="0"/>
    <x v="0"/>
    <x v="3"/>
    <x v="35"/>
    <x v="3"/>
    <x v="39"/>
    <x v="3"/>
    <x v="47"/>
    <x v="2"/>
    <x v="28"/>
    <x v="0"/>
    <x v="0"/>
    <x v="9"/>
    <x v="97"/>
    <x v="148"/>
    <x v="158"/>
    <x v="16"/>
    <x v="0"/>
    <x v="67"/>
    <x v="23"/>
    <x v="0"/>
    <x v="36"/>
    <x v="0"/>
    <x v="60"/>
    <x v="1"/>
    <x v="0"/>
    <x v="41"/>
    <x v="52"/>
    <x v="83"/>
    <x v="123"/>
    <x v="23"/>
    <x v="141"/>
    <x v="34"/>
    <x v="110"/>
    <x v="28"/>
    <x v="73"/>
    <x v="86"/>
    <x v="14"/>
  </r>
  <r>
    <x v="115"/>
    <x v="55"/>
    <x v="0"/>
    <x v="4"/>
    <x v="15"/>
    <x v="9"/>
    <x v="65"/>
    <x v="70"/>
    <x v="103"/>
    <x v="38"/>
    <x v="123"/>
    <x v="174"/>
    <x v="2"/>
    <x v="4"/>
    <x v="1"/>
    <x v="1"/>
    <x v="8"/>
    <x v="5"/>
    <x v="3"/>
    <x v="2"/>
    <x v="1"/>
    <x v="0"/>
    <x v="0"/>
    <x v="1"/>
    <x v="2"/>
    <x v="11"/>
    <x v="1"/>
    <x v="13"/>
    <x v="2"/>
    <x v="35"/>
    <x v="2"/>
    <x v="33"/>
    <x v="1"/>
    <x v="11"/>
    <x v="0"/>
    <x v="0"/>
    <x v="6"/>
    <x v="64"/>
    <x v="80"/>
    <x v="114"/>
    <x v="0"/>
    <x v="0"/>
    <x v="45"/>
    <x v="11"/>
    <x v="0"/>
    <x v="36"/>
    <x v="0"/>
    <x v="60"/>
    <x v="0"/>
    <x v="22"/>
    <x v="18"/>
    <x v="37"/>
    <x v="47"/>
    <x v="63"/>
    <x v="1"/>
    <x v="141"/>
    <x v="34"/>
    <x v="110"/>
    <x v="28"/>
    <x v="22"/>
    <x v="38"/>
    <x v="24"/>
  </r>
  <r>
    <x v="36"/>
    <x v="56"/>
    <x v="0"/>
    <x v="4"/>
    <x v="11"/>
    <x v="102"/>
    <x v="100"/>
    <x v="32"/>
    <x v="133"/>
    <x v="98"/>
    <x v="55"/>
    <x v="146"/>
    <x v="0"/>
    <x v="85"/>
    <x v="54"/>
    <x v="21"/>
    <x v="8"/>
    <x v="5"/>
    <x v="3"/>
    <x v="2"/>
    <x v="0"/>
    <x v="0"/>
    <x v="0"/>
    <x v="0"/>
    <x v="2"/>
    <x v="17"/>
    <x v="2"/>
    <x v="23"/>
    <x v="1"/>
    <x v="4"/>
    <x v="2"/>
    <x v="27"/>
    <x v="2"/>
    <x v="34"/>
    <x v="1"/>
    <x v="11"/>
    <x v="8"/>
    <x v="87"/>
    <x v="118"/>
    <x v="61"/>
    <x v="0"/>
    <x v="0"/>
    <x v="50"/>
    <x v="0"/>
    <x v="0"/>
    <x v="36"/>
    <x v="0"/>
    <x v="60"/>
    <x v="0"/>
    <x v="22"/>
    <x v="32"/>
    <x v="50"/>
    <x v="73"/>
    <x v="14"/>
    <x v="1"/>
    <x v="20"/>
    <x v="1"/>
    <x v="15"/>
    <x v="0"/>
    <x v="14"/>
    <x v="96"/>
    <x v="15"/>
  </r>
  <r>
    <x v="59"/>
    <x v="57"/>
    <x v="0"/>
    <x v="4"/>
    <x v="5"/>
    <x v="188"/>
    <x v="22"/>
    <x v="133"/>
    <x v="40"/>
    <x v="12"/>
    <x v="192"/>
    <x v="20"/>
    <x v="2"/>
    <x v="46"/>
    <x v="15"/>
    <x v="21"/>
    <x v="8"/>
    <x v="5"/>
    <x v="3"/>
    <x v="2"/>
    <x v="1"/>
    <x v="0"/>
    <x v="1"/>
    <x v="0"/>
    <x v="0"/>
    <x v="0"/>
    <x v="2"/>
    <x v="21"/>
    <x v="1"/>
    <x v="8"/>
    <x v="1"/>
    <x v="13"/>
    <x v="2"/>
    <x v="34"/>
    <x v="0"/>
    <x v="0"/>
    <x v="4"/>
    <x v="36"/>
    <x v="117"/>
    <x v="189"/>
    <x v="8"/>
    <x v="0"/>
    <x v="69"/>
    <x v="0"/>
    <x v="1"/>
    <x v="0"/>
    <x v="0"/>
    <x v="60"/>
    <x v="0"/>
    <x v="22"/>
    <x v="18"/>
    <x v="14"/>
    <x v="31"/>
    <x v="53"/>
    <x v="26"/>
    <x v="102"/>
    <x v="10"/>
    <x v="101"/>
    <x v="1"/>
    <x v="77"/>
    <x v="7"/>
    <x v="9"/>
  </r>
  <r>
    <x v="142"/>
    <x v="58"/>
    <x v="0"/>
    <x v="4"/>
    <x v="20"/>
    <x v="169"/>
    <x v="23"/>
    <x v="57"/>
    <x v="65"/>
    <x v="24"/>
    <x v="106"/>
    <x v="34"/>
    <x v="1"/>
    <x v="100"/>
    <x v="54"/>
    <x v="21"/>
    <x v="8"/>
    <x v="5"/>
    <x v="3"/>
    <x v="2"/>
    <x v="0"/>
    <x v="0"/>
    <x v="0"/>
    <x v="0"/>
    <x v="0"/>
    <x v="0"/>
    <x v="1"/>
    <x v="4"/>
    <x v="1"/>
    <x v="8"/>
    <x v="1"/>
    <x v="17"/>
    <x v="1"/>
    <x v="15"/>
    <x v="1"/>
    <x v="13"/>
    <x v="3"/>
    <x v="26"/>
    <x v="51"/>
    <x v="41"/>
    <x v="0"/>
    <x v="0"/>
    <x v="122"/>
    <x v="0"/>
    <x v="1"/>
    <x v="29"/>
    <x v="0"/>
    <x v="60"/>
    <x v="0"/>
    <x v="22"/>
    <x v="12"/>
    <x v="15"/>
    <x v="22"/>
    <x v="75"/>
    <x v="10"/>
    <x v="51"/>
    <x v="10"/>
    <x v="55"/>
    <x v="0"/>
    <x v="185"/>
    <x v="99"/>
    <x v="8"/>
  </r>
  <r>
    <x v="38"/>
    <x v="59"/>
    <x v="0"/>
    <x v="4"/>
    <x v="20"/>
    <x v="116"/>
    <x v="24"/>
    <x v="183"/>
    <x v="66"/>
    <x v="134"/>
    <x v="38"/>
    <x v="67"/>
    <x v="1"/>
    <x v="98"/>
    <x v="54"/>
    <x v="21"/>
    <x v="8"/>
    <x v="5"/>
    <x v="3"/>
    <x v="2"/>
    <x v="0"/>
    <x v="0"/>
    <x v="0"/>
    <x v="0"/>
    <x v="0"/>
    <x v="0"/>
    <x v="3"/>
    <x v="44"/>
    <x v="2"/>
    <x v="31"/>
    <x v="2"/>
    <x v="43"/>
    <x v="3"/>
    <x v="61"/>
    <x v="0"/>
    <x v="0"/>
    <x v="8"/>
    <x v="115"/>
    <x v="184"/>
    <x v="193"/>
    <x v="0"/>
    <x v="0"/>
    <x v="156"/>
    <x v="0"/>
    <x v="0"/>
    <x v="36"/>
    <x v="2"/>
    <x v="21"/>
    <x v="0"/>
    <x v="22"/>
    <x v="39"/>
    <x v="48"/>
    <x v="78"/>
    <x v="32"/>
    <x v="21"/>
    <x v="141"/>
    <x v="34"/>
    <x v="110"/>
    <x v="28"/>
    <x v="88"/>
    <x v="125"/>
    <x v="8"/>
  </r>
  <r>
    <x v="146"/>
    <x v="60"/>
    <x v="0"/>
    <x v="2"/>
    <x v="14"/>
    <x v="94"/>
    <x v="129"/>
    <x v="122"/>
    <x v="189"/>
    <x v="173"/>
    <x v="169"/>
    <x v="140"/>
    <x v="0"/>
    <x v="57"/>
    <x v="54"/>
    <x v="21"/>
    <x v="8"/>
    <x v="5"/>
    <x v="3"/>
    <x v="2"/>
    <x v="0"/>
    <x v="0"/>
    <x v="0"/>
    <x v="0"/>
    <x v="2"/>
    <x v="13"/>
    <x v="1"/>
    <x v="9"/>
    <x v="1"/>
    <x v="8"/>
    <x v="1"/>
    <x v="9"/>
    <x v="2"/>
    <x v="21"/>
    <x v="0"/>
    <x v="0"/>
    <x v="5"/>
    <x v="38"/>
    <x v="58"/>
    <x v="103"/>
    <x v="0"/>
    <x v="0"/>
    <x v="17"/>
    <x v="0"/>
    <x v="0"/>
    <x v="36"/>
    <x v="1"/>
    <x v="37"/>
    <x v="0"/>
    <x v="22"/>
    <x v="11"/>
    <x v="24"/>
    <x v="27"/>
    <x v="133"/>
    <x v="1"/>
    <x v="5"/>
    <x v="12"/>
    <x v="69"/>
    <x v="0"/>
    <x v="181"/>
    <x v="146"/>
    <x v="12"/>
  </r>
  <r>
    <x v="10"/>
    <x v="61"/>
    <x v="0"/>
    <x v="4"/>
    <x v="5"/>
    <x v="58"/>
    <x v="101"/>
    <x v="135"/>
    <x v="67"/>
    <x v="173"/>
    <x v="77"/>
    <x v="180"/>
    <x v="0"/>
    <x v="82"/>
    <x v="54"/>
    <x v="21"/>
    <x v="8"/>
    <x v="5"/>
    <x v="3"/>
    <x v="2"/>
    <x v="1"/>
    <x v="0"/>
    <x v="0"/>
    <x v="0"/>
    <x v="2"/>
    <x v="12"/>
    <x v="1"/>
    <x v="3"/>
    <x v="1"/>
    <x v="12"/>
    <x v="1"/>
    <x v="15"/>
    <x v="1"/>
    <x v="8"/>
    <x v="0"/>
    <x v="0"/>
    <x v="4"/>
    <x v="27"/>
    <x v="32"/>
    <x v="38"/>
    <x v="0"/>
    <x v="0"/>
    <x v="53"/>
    <x v="27"/>
    <x v="0"/>
    <x v="36"/>
    <x v="1"/>
    <x v="4"/>
    <x v="0"/>
    <x v="22"/>
    <x v="8"/>
    <x v="16"/>
    <x v="17"/>
    <x v="134"/>
    <x v="20"/>
    <x v="128"/>
    <x v="2"/>
    <x v="110"/>
    <x v="28"/>
    <x v="128"/>
    <x v="142"/>
    <x v="14"/>
  </r>
  <r>
    <x v="166"/>
    <x v="62"/>
    <x v="0"/>
    <x v="4"/>
    <x v="21"/>
    <x v="118"/>
    <x v="38"/>
    <x v="0"/>
    <x v="41"/>
    <x v="25"/>
    <x v="184"/>
    <x v="117"/>
    <x v="1"/>
    <x v="68"/>
    <x v="30"/>
    <x v="21"/>
    <x v="8"/>
    <x v="5"/>
    <x v="3"/>
    <x v="2"/>
    <x v="0"/>
    <x v="0"/>
    <x v="0"/>
    <x v="0"/>
    <x v="0"/>
    <x v="0"/>
    <x v="1"/>
    <x v="2"/>
    <x v="1"/>
    <x v="6"/>
    <x v="1"/>
    <x v="15"/>
    <x v="1"/>
    <x v="9"/>
    <x v="0"/>
    <x v="0"/>
    <x v="2"/>
    <x v="10"/>
    <x v="27"/>
    <x v="42"/>
    <x v="0"/>
    <x v="11"/>
    <x v="76"/>
    <x v="0"/>
    <x v="1"/>
    <x v="36"/>
    <x v="0"/>
    <x v="60"/>
    <x v="0"/>
    <x v="22"/>
    <x v="7"/>
    <x v="5"/>
    <x v="9"/>
    <x v="103"/>
    <x v="14"/>
    <x v="24"/>
    <x v="5"/>
    <x v="110"/>
    <x v="28"/>
    <x v="150"/>
    <x v="151"/>
    <x v="12"/>
  </r>
  <r>
    <x v="110"/>
    <x v="64"/>
    <x v="0"/>
    <x v="4"/>
    <x v="1"/>
    <x v="56"/>
    <x v="87"/>
    <x v="88"/>
    <x v="108"/>
    <x v="173"/>
    <x v="157"/>
    <x v="105"/>
    <x v="1"/>
    <x v="14"/>
    <x v="10"/>
    <x v="21"/>
    <x v="8"/>
    <x v="5"/>
    <x v="3"/>
    <x v="2"/>
    <x v="0"/>
    <x v="1"/>
    <x v="2"/>
    <x v="0"/>
    <x v="2"/>
    <x v="22"/>
    <x v="3"/>
    <x v="43"/>
    <x v="2"/>
    <x v="27"/>
    <x v="2"/>
    <x v="27"/>
    <x v="1"/>
    <x v="8"/>
    <x v="0"/>
    <x v="18"/>
    <x v="8"/>
    <x v="93"/>
    <x v="88"/>
    <x v="65"/>
    <x v="0"/>
    <x v="0"/>
    <x v="0"/>
    <x v="31"/>
    <x v="0"/>
    <x v="36"/>
    <x v="0"/>
    <x v="60"/>
    <x v="0"/>
    <x v="22"/>
    <x v="32"/>
    <x v="54"/>
    <x v="77"/>
    <x v="121"/>
    <x v="12"/>
    <x v="130"/>
    <x v="1"/>
    <x v="80"/>
    <x v="9"/>
    <x v="21"/>
    <x v="100"/>
    <x v="18"/>
  </r>
  <r>
    <x v="51"/>
    <x v="65"/>
    <x v="0"/>
    <x v="5"/>
    <x v="16"/>
    <x v="65"/>
    <x v="66"/>
    <x v="193"/>
    <x v="53"/>
    <x v="39"/>
    <x v="177"/>
    <x v="138"/>
    <x v="2"/>
    <x v="94"/>
    <x v="45"/>
    <x v="21"/>
    <x v="8"/>
    <x v="5"/>
    <x v="3"/>
    <x v="2"/>
    <x v="1"/>
    <x v="0"/>
    <x v="2"/>
    <x v="7"/>
    <x v="2"/>
    <x v="24"/>
    <x v="3"/>
    <x v="45"/>
    <x v="2"/>
    <x v="31"/>
    <x v="2"/>
    <x v="42"/>
    <x v="2"/>
    <x v="43"/>
    <x v="0"/>
    <x v="0"/>
    <x v="9"/>
    <x v="123"/>
    <x v="175"/>
    <x v="180"/>
    <x v="0"/>
    <x v="52"/>
    <x v="162"/>
    <x v="19"/>
    <x v="0"/>
    <x v="36"/>
    <x v="1"/>
    <x v="9"/>
    <x v="0"/>
    <x v="22"/>
    <x v="34"/>
    <x v="66"/>
    <x v="90"/>
    <x v="11"/>
    <x v="15"/>
    <x v="7"/>
    <x v="17"/>
    <x v="8"/>
    <x v="11"/>
    <x v="64"/>
    <x v="145"/>
    <x v="15"/>
  </r>
  <r>
    <x v="163"/>
    <x v="66"/>
    <x v="0"/>
    <x v="4"/>
    <x v="8"/>
    <x v="179"/>
    <x v="67"/>
    <x v="82"/>
    <x v="188"/>
    <x v="40"/>
    <x v="63"/>
    <x v="75"/>
    <x v="2"/>
    <x v="117"/>
    <x v="49"/>
    <x v="14"/>
    <x v="8"/>
    <x v="5"/>
    <x v="3"/>
    <x v="2"/>
    <x v="2"/>
    <x v="0"/>
    <x v="0"/>
    <x v="0"/>
    <x v="0"/>
    <x v="0"/>
    <x v="2"/>
    <x v="25"/>
    <x v="2"/>
    <x v="31"/>
    <x v="1"/>
    <x v="15"/>
    <x v="2"/>
    <x v="38"/>
    <x v="0"/>
    <x v="0"/>
    <x v="5"/>
    <x v="56"/>
    <x v="0"/>
    <x v="190"/>
    <x v="0"/>
    <x v="0"/>
    <x v="119"/>
    <x v="0"/>
    <x v="0"/>
    <x v="36"/>
    <x v="0"/>
    <x v="60"/>
    <x v="0"/>
    <x v="22"/>
    <x v="20"/>
    <x v="25"/>
    <x v="39"/>
    <x v="107"/>
    <x v="27"/>
    <x v="84"/>
    <x v="16"/>
    <x v="26"/>
    <x v="14"/>
    <x v="176"/>
    <x v="167"/>
    <x v="13"/>
  </r>
  <r>
    <x v="187"/>
    <x v="67"/>
    <x v="0"/>
    <x v="4"/>
    <x v="16"/>
    <x v="145"/>
    <x v="181"/>
    <x v="85"/>
    <x v="119"/>
    <x v="41"/>
    <x v="102"/>
    <x v="129"/>
    <x v="1"/>
    <x v="129"/>
    <x v="54"/>
    <x v="21"/>
    <x v="8"/>
    <x v="5"/>
    <x v="3"/>
    <x v="2"/>
    <x v="1"/>
    <x v="0"/>
    <x v="3"/>
    <x v="7"/>
    <x v="1"/>
    <x v="8"/>
    <x v="2"/>
    <x v="22"/>
    <x v="1"/>
    <x v="8"/>
    <x v="2"/>
    <x v="36"/>
    <x v="2"/>
    <x v="37"/>
    <x v="0"/>
    <x v="0"/>
    <x v="6"/>
    <x v="67"/>
    <x v="102"/>
    <x v="91"/>
    <x v="0"/>
    <x v="16"/>
    <x v="81"/>
    <x v="0"/>
    <x v="0"/>
    <x v="36"/>
    <x v="1"/>
    <x v="9"/>
    <x v="0"/>
    <x v="22"/>
    <x v="24"/>
    <x v="44"/>
    <x v="61"/>
    <x v="11"/>
    <x v="15"/>
    <x v="7"/>
    <x v="17"/>
    <x v="8"/>
    <x v="11"/>
    <x v="18"/>
    <x v="150"/>
    <x v="15"/>
  </r>
  <r>
    <x v="65"/>
    <x v="68"/>
    <x v="0"/>
    <x v="4"/>
    <x v="4"/>
    <x v="190"/>
    <x v="68"/>
    <x v="58"/>
    <x v="20"/>
    <x v="10"/>
    <x v="149"/>
    <x v="0"/>
    <x v="7"/>
    <x v="129"/>
    <x v="54"/>
    <x v="21"/>
    <x v="8"/>
    <x v="5"/>
    <x v="3"/>
    <x v="2"/>
    <x v="0"/>
    <x v="0"/>
    <x v="1"/>
    <x v="2"/>
    <x v="0"/>
    <x v="0"/>
    <x v="1"/>
    <x v="5"/>
    <x v="2"/>
    <x v="30"/>
    <x v="2"/>
    <x v="40"/>
    <x v="1"/>
    <x v="16"/>
    <x v="0"/>
    <x v="0"/>
    <x v="4"/>
    <x v="49"/>
    <x v="55"/>
    <x v="69"/>
    <x v="3"/>
    <x v="0"/>
    <x v="100"/>
    <x v="0"/>
    <x v="0"/>
    <x v="36"/>
    <x v="1"/>
    <x v="60"/>
    <x v="0"/>
    <x v="22"/>
    <x v="16"/>
    <x v="19"/>
    <x v="31"/>
    <x v="156"/>
    <x v="14"/>
    <x v="141"/>
    <x v="34"/>
    <x v="110"/>
    <x v="28"/>
    <x v="44"/>
    <x v="129"/>
    <x v="14"/>
  </r>
  <r>
    <x v="28"/>
    <x v="69"/>
    <x v="0"/>
    <x v="4"/>
    <x v="10"/>
    <x v="119"/>
    <x v="69"/>
    <x v="53"/>
    <x v="68"/>
    <x v="83"/>
    <x v="98"/>
    <x v="107"/>
    <x v="0"/>
    <x v="90"/>
    <x v="54"/>
    <x v="21"/>
    <x v="8"/>
    <x v="5"/>
    <x v="3"/>
    <x v="2"/>
    <x v="0"/>
    <x v="0"/>
    <x v="0"/>
    <x v="0"/>
    <x v="0"/>
    <x v="0"/>
    <x v="1"/>
    <x v="4"/>
    <x v="1"/>
    <x v="8"/>
    <x v="1"/>
    <x v="14"/>
    <x v="1"/>
    <x v="12"/>
    <x v="0"/>
    <x v="0"/>
    <x v="2"/>
    <x v="15"/>
    <x v="31"/>
    <x v="29"/>
    <x v="0"/>
    <x v="0"/>
    <x v="30"/>
    <x v="0"/>
    <x v="0"/>
    <x v="36"/>
    <x v="0"/>
    <x v="60"/>
    <x v="0"/>
    <x v="22"/>
    <x v="7"/>
    <x v="6"/>
    <x v="10"/>
    <x v="126"/>
    <x v="33"/>
    <x v="53"/>
    <x v="34"/>
    <x v="80"/>
    <x v="28"/>
    <x v="134"/>
    <x v="34"/>
    <x v="14"/>
  </r>
  <r>
    <x v="32"/>
    <x v="70"/>
    <x v="0"/>
    <x v="4"/>
    <x v="23"/>
    <x v="92"/>
    <x v="70"/>
    <x v="79"/>
    <x v="101"/>
    <x v="103"/>
    <x v="46"/>
    <x v="180"/>
    <x v="1"/>
    <x v="123"/>
    <x v="54"/>
    <x v="21"/>
    <x v="8"/>
    <x v="5"/>
    <x v="3"/>
    <x v="2"/>
    <x v="0"/>
    <x v="0"/>
    <x v="0"/>
    <x v="0"/>
    <x v="0"/>
    <x v="0"/>
    <x v="2"/>
    <x v="26"/>
    <x v="2"/>
    <x v="34"/>
    <x v="2"/>
    <x v="38"/>
    <x v="2"/>
    <x v="32"/>
    <x v="0"/>
    <x v="0"/>
    <x v="6"/>
    <x v="72"/>
    <x v="119"/>
    <x v="104"/>
    <x v="12"/>
    <x v="31"/>
    <x v="169"/>
    <x v="28"/>
    <x v="0"/>
    <x v="36"/>
    <x v="1"/>
    <x v="35"/>
    <x v="0"/>
    <x v="22"/>
    <x v="26"/>
    <x v="32"/>
    <x v="53"/>
    <x v="83"/>
    <x v="4"/>
    <x v="69"/>
    <x v="18"/>
    <x v="83"/>
    <x v="17"/>
    <x v="74"/>
    <x v="10"/>
    <x v="14"/>
  </r>
  <r>
    <x v="67"/>
    <x v="71"/>
    <x v="0"/>
    <x v="4"/>
    <x v="20"/>
    <x v="159"/>
    <x v="71"/>
    <x v="148"/>
    <x v="182"/>
    <x v="169"/>
    <x v="125"/>
    <x v="10"/>
    <x v="2"/>
    <x v="108"/>
    <x v="43"/>
    <x v="9"/>
    <x v="8"/>
    <x v="5"/>
    <x v="3"/>
    <x v="2"/>
    <x v="2"/>
    <x v="0"/>
    <x v="1"/>
    <x v="0"/>
    <x v="0"/>
    <x v="0"/>
    <x v="2"/>
    <x v="22"/>
    <x v="3"/>
    <x v="40"/>
    <x v="2"/>
    <x v="34"/>
    <x v="2"/>
    <x v="37"/>
    <x v="0"/>
    <x v="0"/>
    <x v="7"/>
    <x v="79"/>
    <x v="112"/>
    <x v="118"/>
    <x v="0"/>
    <x v="47"/>
    <x v="71"/>
    <x v="0"/>
    <x v="1"/>
    <x v="14"/>
    <x v="1"/>
    <x v="32"/>
    <x v="0"/>
    <x v="22"/>
    <x v="31"/>
    <x v="32"/>
    <x v="60"/>
    <x v="33"/>
    <x v="20"/>
    <x v="141"/>
    <x v="34"/>
    <x v="110"/>
    <x v="28"/>
    <x v="103"/>
    <x v="117"/>
    <x v="15"/>
  </r>
  <r>
    <x v="99"/>
    <x v="72"/>
    <x v="0"/>
    <x v="4"/>
    <x v="7"/>
    <x v="0"/>
    <x v="15"/>
    <x v="153"/>
    <x v="99"/>
    <x v="100"/>
    <x v="159"/>
    <x v="26"/>
    <x v="7"/>
    <x v="129"/>
    <x v="54"/>
    <x v="21"/>
    <x v="8"/>
    <x v="5"/>
    <x v="3"/>
    <x v="2"/>
    <x v="0"/>
    <x v="0"/>
    <x v="0"/>
    <x v="0"/>
    <x v="0"/>
    <x v="0"/>
    <x v="2"/>
    <x v="27"/>
    <x v="1"/>
    <x v="9"/>
    <x v="2"/>
    <x v="38"/>
    <x v="1"/>
    <x v="11"/>
    <x v="0"/>
    <x v="0"/>
    <x v="4"/>
    <x v="46"/>
    <x v="0"/>
    <x v="191"/>
    <x v="0"/>
    <x v="0"/>
    <x v="78"/>
    <x v="0"/>
    <x v="0"/>
    <x v="36"/>
    <x v="0"/>
    <x v="60"/>
    <x v="0"/>
    <x v="22"/>
    <x v="17"/>
    <x v="20"/>
    <x v="33"/>
    <x v="66"/>
    <x v="10"/>
    <x v="141"/>
    <x v="34"/>
    <x v="110"/>
    <x v="28"/>
    <x v="180"/>
    <x v="107"/>
    <x v="15"/>
  </r>
  <r>
    <x v="41"/>
    <x v="74"/>
    <x v="0"/>
    <x v="4"/>
    <x v="13"/>
    <x v="140"/>
    <x v="73"/>
    <x v="158"/>
    <x v="69"/>
    <x v="118"/>
    <x v="25"/>
    <x v="3"/>
    <x v="1"/>
    <x v="20"/>
    <x v="11"/>
    <x v="21"/>
    <x v="8"/>
    <x v="5"/>
    <x v="3"/>
    <x v="2"/>
    <x v="1"/>
    <x v="0"/>
    <x v="1"/>
    <x v="4"/>
    <x v="1"/>
    <x v="5"/>
    <x v="3"/>
    <x v="39"/>
    <x v="2"/>
    <x v="25"/>
    <x v="1"/>
    <x v="12"/>
    <x v="1"/>
    <x v="12"/>
    <x v="0"/>
    <x v="0"/>
    <x v="6"/>
    <x v="62"/>
    <x v="83"/>
    <x v="85"/>
    <x v="0"/>
    <x v="0"/>
    <x v="0"/>
    <x v="0"/>
    <x v="1"/>
    <x v="26"/>
    <x v="0"/>
    <x v="60"/>
    <x v="0"/>
    <x v="22"/>
    <x v="23"/>
    <x v="33"/>
    <x v="50"/>
    <x v="130"/>
    <x v="14"/>
    <x v="123"/>
    <x v="14"/>
    <x v="47"/>
    <x v="12"/>
    <x v="186"/>
    <x v="186"/>
    <x v="15"/>
  </r>
  <r>
    <x v="16"/>
    <x v="75"/>
    <x v="0"/>
    <x v="4"/>
    <x v="13"/>
    <x v="153"/>
    <x v="74"/>
    <x v="184"/>
    <x v="21"/>
    <x v="42"/>
    <x v="59"/>
    <x v="27"/>
    <x v="0"/>
    <x v="106"/>
    <x v="54"/>
    <x v="21"/>
    <x v="8"/>
    <x v="5"/>
    <x v="3"/>
    <x v="2"/>
    <x v="2"/>
    <x v="0"/>
    <x v="2"/>
    <x v="6"/>
    <x v="3"/>
    <x v="29"/>
    <x v="2"/>
    <x v="31"/>
    <x v="2"/>
    <x v="29"/>
    <x v="2"/>
    <x v="43"/>
    <x v="2"/>
    <x v="45"/>
    <x v="1"/>
    <x v="1"/>
    <x v="10"/>
    <x v="125"/>
    <x v="159"/>
    <x v="175"/>
    <x v="0"/>
    <x v="0"/>
    <x v="92"/>
    <x v="0"/>
    <x v="0"/>
    <x v="36"/>
    <x v="0"/>
    <x v="60"/>
    <x v="0"/>
    <x v="22"/>
    <x v="35"/>
    <x v="65"/>
    <x v="90"/>
    <x v="31"/>
    <x v="4"/>
    <x v="97"/>
    <x v="22"/>
    <x v="110"/>
    <x v="28"/>
    <x v="43"/>
    <x v="33"/>
    <x v="14"/>
  </r>
  <r>
    <x v="173"/>
    <x v="76"/>
    <x v="0"/>
    <x v="5"/>
    <x v="13"/>
    <x v="43"/>
    <x v="192"/>
    <x v="89"/>
    <x v="128"/>
    <x v="172"/>
    <x v="75"/>
    <x v="168"/>
    <x v="0"/>
    <x v="44"/>
    <x v="54"/>
    <x v="21"/>
    <x v="8"/>
    <x v="5"/>
    <x v="3"/>
    <x v="2"/>
    <x v="2"/>
    <x v="0"/>
    <x v="2"/>
    <x v="0"/>
    <x v="2"/>
    <x v="20"/>
    <x v="2"/>
    <x v="26"/>
    <x v="2"/>
    <x v="27"/>
    <x v="1"/>
    <x v="12"/>
    <x v="1"/>
    <x v="9"/>
    <x v="1"/>
    <x v="2"/>
    <x v="7"/>
    <x v="68"/>
    <x v="124"/>
    <x v="138"/>
    <x v="0"/>
    <x v="36"/>
    <x v="132"/>
    <x v="0"/>
    <x v="0"/>
    <x v="36"/>
    <x v="0"/>
    <x v="60"/>
    <x v="1"/>
    <x v="4"/>
    <x v="23"/>
    <x v="36"/>
    <x v="55"/>
    <x v="34"/>
    <x v="0"/>
    <x v="99"/>
    <x v="19"/>
    <x v="110"/>
    <x v="28"/>
    <x v="2"/>
    <x v="19"/>
    <x v="13"/>
  </r>
  <r>
    <x v="189"/>
    <x v="77"/>
    <x v="0"/>
    <x v="4"/>
    <x v="18"/>
    <x v="132"/>
    <x v="75"/>
    <x v="14"/>
    <x v="87"/>
    <x v="173"/>
    <x v="56"/>
    <x v="180"/>
    <x v="1"/>
    <x v="120"/>
    <x v="54"/>
    <x v="21"/>
    <x v="8"/>
    <x v="5"/>
    <x v="3"/>
    <x v="2"/>
    <x v="4"/>
    <x v="0"/>
    <x v="2"/>
    <x v="0"/>
    <x v="0"/>
    <x v="0"/>
    <x v="4"/>
    <x v="50"/>
    <x v="3"/>
    <x v="49"/>
    <x v="3"/>
    <x v="55"/>
    <x v="2"/>
    <x v="37"/>
    <x v="0"/>
    <x v="0"/>
    <x v="10"/>
    <x v="128"/>
    <x v="176"/>
    <x v="169"/>
    <x v="0"/>
    <x v="0"/>
    <x v="146"/>
    <x v="0"/>
    <x v="0"/>
    <x v="36"/>
    <x v="0"/>
    <x v="60"/>
    <x v="0"/>
    <x v="22"/>
    <x v="48"/>
    <x v="58"/>
    <x v="91"/>
    <x v="39"/>
    <x v="1"/>
    <x v="32"/>
    <x v="2"/>
    <x v="28"/>
    <x v="0"/>
    <x v="142"/>
    <x v="82"/>
    <x v="21"/>
  </r>
  <r>
    <x v="162"/>
    <x v="78"/>
    <x v="0"/>
    <x v="4"/>
    <x v="10"/>
    <x v="143"/>
    <x v="76"/>
    <x v="4"/>
    <x v="89"/>
    <x v="84"/>
    <x v="41"/>
    <x v="107"/>
    <x v="0"/>
    <x v="129"/>
    <x v="54"/>
    <x v="21"/>
    <x v="8"/>
    <x v="5"/>
    <x v="3"/>
    <x v="2"/>
    <x v="1"/>
    <x v="0"/>
    <x v="0"/>
    <x v="0"/>
    <x v="0"/>
    <x v="0"/>
    <x v="1"/>
    <x v="4"/>
    <x v="2"/>
    <x v="30"/>
    <x v="1"/>
    <x v="11"/>
    <x v="2"/>
    <x v="40"/>
    <x v="0"/>
    <x v="0"/>
    <x v="4"/>
    <x v="42"/>
    <x v="41"/>
    <x v="63"/>
    <x v="0"/>
    <x v="0"/>
    <x v="157"/>
    <x v="4"/>
    <x v="0"/>
    <x v="36"/>
    <x v="0"/>
    <x v="60"/>
    <x v="0"/>
    <x v="22"/>
    <x v="17"/>
    <x v="19"/>
    <x v="32"/>
    <x v="110"/>
    <x v="19"/>
    <x v="104"/>
    <x v="12"/>
    <x v="102"/>
    <x v="17"/>
    <x v="39"/>
    <x v="126"/>
    <x v="12"/>
  </r>
  <r>
    <x v="170"/>
    <x v="79"/>
    <x v="0"/>
    <x v="4"/>
    <x v="10"/>
    <x v="74"/>
    <x v="191"/>
    <x v="157"/>
    <x v="129"/>
    <x v="85"/>
    <x v="31"/>
    <x v="108"/>
    <x v="0"/>
    <x v="129"/>
    <x v="54"/>
    <x v="21"/>
    <x v="8"/>
    <x v="5"/>
    <x v="3"/>
    <x v="2"/>
    <x v="2"/>
    <x v="0"/>
    <x v="1"/>
    <x v="0"/>
    <x v="2"/>
    <x v="20"/>
    <x v="1"/>
    <x v="8"/>
    <x v="1"/>
    <x v="14"/>
    <x v="1"/>
    <x v="19"/>
    <x v="1"/>
    <x v="14"/>
    <x v="0"/>
    <x v="0"/>
    <x v="4"/>
    <x v="49"/>
    <x v="68"/>
    <x v="70"/>
    <x v="0"/>
    <x v="3"/>
    <x v="40"/>
    <x v="0"/>
    <x v="0"/>
    <x v="36"/>
    <x v="1"/>
    <x v="36"/>
    <x v="0"/>
    <x v="22"/>
    <x v="10"/>
    <x v="30"/>
    <x v="32"/>
    <x v="1"/>
    <x v="9"/>
    <x v="15"/>
    <x v="2"/>
    <x v="19"/>
    <x v="1"/>
    <x v="35"/>
    <x v="115"/>
    <x v="13"/>
  </r>
  <r>
    <x v="81"/>
    <x v="80"/>
    <x v="0"/>
    <x v="15"/>
    <x v="2"/>
    <x v="139"/>
    <x v="189"/>
    <x v="101"/>
    <x v="130"/>
    <x v="3"/>
    <x v="155"/>
    <x v="94"/>
    <x v="3"/>
    <x v="61"/>
    <x v="54"/>
    <x v="21"/>
    <x v="8"/>
    <x v="5"/>
    <x v="3"/>
    <x v="2"/>
    <x v="0"/>
    <x v="0"/>
    <x v="1"/>
    <x v="0"/>
    <x v="1"/>
    <x v="10"/>
    <x v="3"/>
    <x v="47"/>
    <x v="0"/>
    <x v="0"/>
    <x v="2"/>
    <x v="38"/>
    <x v="1"/>
    <x v="14"/>
    <x v="0"/>
    <x v="0"/>
    <x v="5"/>
    <x v="59"/>
    <x v="69"/>
    <x v="77"/>
    <x v="0"/>
    <x v="0"/>
    <x v="3"/>
    <x v="0"/>
    <x v="0"/>
    <x v="36"/>
    <x v="0"/>
    <x v="60"/>
    <x v="0"/>
    <x v="22"/>
    <x v="17"/>
    <x v="32"/>
    <x v="41"/>
    <x v="113"/>
    <x v="10"/>
    <x v="132"/>
    <x v="10"/>
    <x v="110"/>
    <x v="28"/>
    <x v="155"/>
    <x v="132"/>
    <x v="16"/>
  </r>
  <r>
    <x v="111"/>
    <x v="81"/>
    <x v="0"/>
    <x v="4"/>
    <x v="18"/>
    <x v="106"/>
    <x v="127"/>
    <x v="72"/>
    <x v="22"/>
    <x v="171"/>
    <x v="81"/>
    <x v="180"/>
    <x v="0"/>
    <x v="129"/>
    <x v="54"/>
    <x v="21"/>
    <x v="8"/>
    <x v="5"/>
    <x v="3"/>
    <x v="2"/>
    <x v="0"/>
    <x v="0"/>
    <x v="0"/>
    <x v="0"/>
    <x v="0"/>
    <x v="0"/>
    <x v="2"/>
    <x v="24"/>
    <x v="1"/>
    <x v="8"/>
    <x v="1"/>
    <x v="12"/>
    <x v="2"/>
    <x v="37"/>
    <x v="0"/>
    <x v="0"/>
    <x v="4"/>
    <x v="40"/>
    <x v="45"/>
    <x v="45"/>
    <x v="0"/>
    <x v="0"/>
    <x v="27"/>
    <x v="25"/>
    <x v="0"/>
    <x v="36"/>
    <x v="0"/>
    <x v="60"/>
    <x v="0"/>
    <x v="22"/>
    <x v="16"/>
    <x v="18"/>
    <x v="30"/>
    <x v="18"/>
    <x v="13"/>
    <x v="141"/>
    <x v="34"/>
    <x v="110"/>
    <x v="28"/>
    <x v="62"/>
    <x v="37"/>
    <x v="13"/>
  </r>
  <r>
    <x v="112"/>
    <x v="82"/>
    <x v="0"/>
    <x v="4"/>
    <x v="12"/>
    <x v="39"/>
    <x v="148"/>
    <x v="113"/>
    <x v="35"/>
    <x v="80"/>
    <x v="62"/>
    <x v="131"/>
    <x v="1"/>
    <x v="41"/>
    <x v="17"/>
    <x v="21"/>
    <x v="8"/>
    <x v="5"/>
    <x v="3"/>
    <x v="2"/>
    <x v="1"/>
    <x v="0"/>
    <x v="1"/>
    <x v="1"/>
    <x v="2"/>
    <x v="23"/>
    <x v="2"/>
    <x v="21"/>
    <x v="2"/>
    <x v="25"/>
    <x v="2"/>
    <x v="39"/>
    <x v="4"/>
    <x v="62"/>
    <x v="0"/>
    <x v="0"/>
    <x v="10"/>
    <x v="126"/>
    <x v="170"/>
    <x v="171"/>
    <x v="0"/>
    <x v="0"/>
    <x v="36"/>
    <x v="0"/>
    <x v="0"/>
    <x v="36"/>
    <x v="0"/>
    <x v="60"/>
    <x v="0"/>
    <x v="22"/>
    <x v="44"/>
    <x v="58"/>
    <x v="90"/>
    <x v="79"/>
    <x v="20"/>
    <x v="121"/>
    <x v="17"/>
    <x v="41"/>
    <x v="15"/>
    <x v="96"/>
    <x v="130"/>
    <x v="15"/>
  </r>
  <r>
    <x v="132"/>
    <x v="83"/>
    <x v="0"/>
    <x v="4"/>
    <x v="5"/>
    <x v="88"/>
    <x v="31"/>
    <x v="156"/>
    <x v="70"/>
    <x v="135"/>
    <x v="111"/>
    <x v="58"/>
    <x v="0"/>
    <x v="26"/>
    <x v="54"/>
    <x v="21"/>
    <x v="8"/>
    <x v="5"/>
    <x v="3"/>
    <x v="2"/>
    <x v="0"/>
    <x v="1"/>
    <x v="1"/>
    <x v="0"/>
    <x v="2"/>
    <x v="21"/>
    <x v="2"/>
    <x v="23"/>
    <x v="2"/>
    <x v="25"/>
    <x v="2"/>
    <x v="34"/>
    <x v="2"/>
    <x v="24"/>
    <x v="0"/>
    <x v="0"/>
    <x v="8"/>
    <x v="88"/>
    <x v="128"/>
    <x v="131"/>
    <x v="15"/>
    <x v="21"/>
    <x v="48"/>
    <x v="0"/>
    <x v="0"/>
    <x v="36"/>
    <x v="5"/>
    <x v="22"/>
    <x v="0"/>
    <x v="22"/>
    <x v="29"/>
    <x v="50"/>
    <x v="69"/>
    <x v="134"/>
    <x v="7"/>
    <x v="128"/>
    <x v="2"/>
    <x v="50"/>
    <x v="4"/>
    <x v="27"/>
    <x v="57"/>
    <x v="12"/>
  </r>
  <r>
    <x v="27"/>
    <x v="85"/>
    <x v="0"/>
    <x v="9"/>
    <x v="17"/>
    <x v="152"/>
    <x v="154"/>
    <x v="23"/>
    <x v="109"/>
    <x v="138"/>
    <x v="179"/>
    <x v="55"/>
    <x v="0"/>
    <x v="129"/>
    <x v="54"/>
    <x v="21"/>
    <x v="8"/>
    <x v="5"/>
    <x v="3"/>
    <x v="2"/>
    <x v="0"/>
    <x v="0"/>
    <x v="1"/>
    <x v="1"/>
    <x v="1"/>
    <x v="5"/>
    <x v="1"/>
    <x v="7"/>
    <x v="1"/>
    <x v="8"/>
    <x v="1"/>
    <x v="15"/>
    <x v="1"/>
    <x v="17"/>
    <x v="0"/>
    <x v="0"/>
    <x v="3"/>
    <x v="24"/>
    <x v="36"/>
    <x v="36"/>
    <x v="0"/>
    <x v="0"/>
    <x v="38"/>
    <x v="0"/>
    <x v="0"/>
    <x v="36"/>
    <x v="0"/>
    <x v="60"/>
    <x v="0"/>
    <x v="22"/>
    <x v="9"/>
    <x v="18"/>
    <x v="18"/>
    <x v="77"/>
    <x v="18"/>
    <x v="141"/>
    <x v="34"/>
    <x v="110"/>
    <x v="28"/>
    <x v="167"/>
    <x v="127"/>
    <x v="13"/>
  </r>
  <r>
    <x v="138"/>
    <x v="86"/>
    <x v="0"/>
    <x v="12"/>
    <x v="17"/>
    <x v="155"/>
    <x v="155"/>
    <x v="125"/>
    <x v="23"/>
    <x v="124"/>
    <x v="83"/>
    <x v="126"/>
    <x v="1"/>
    <x v="63"/>
    <x v="25"/>
    <x v="21"/>
    <x v="8"/>
    <x v="5"/>
    <x v="3"/>
    <x v="2"/>
    <x v="0"/>
    <x v="0"/>
    <x v="0"/>
    <x v="0"/>
    <x v="0"/>
    <x v="0"/>
    <x v="0"/>
    <x v="0"/>
    <x v="1"/>
    <x v="3"/>
    <x v="0"/>
    <x v="0"/>
    <x v="1"/>
    <x v="8"/>
    <x v="0"/>
    <x v="0"/>
    <x v="0"/>
    <x v="2"/>
    <x v="7"/>
    <x v="6"/>
    <x v="17"/>
    <x v="0"/>
    <x v="2"/>
    <x v="0"/>
    <x v="0"/>
    <x v="36"/>
    <x v="1"/>
    <x v="49"/>
    <x v="0"/>
    <x v="22"/>
    <x v="0"/>
    <x v="0"/>
    <x v="1"/>
    <x v="116"/>
    <x v="4"/>
    <x v="141"/>
    <x v="34"/>
    <x v="110"/>
    <x v="28"/>
    <x v="92"/>
    <x v="92"/>
    <x v="12"/>
  </r>
  <r>
    <x v="143"/>
    <x v="87"/>
    <x v="0"/>
    <x v="4"/>
    <x v="17"/>
    <x v="4"/>
    <x v="156"/>
    <x v="123"/>
    <x v="174"/>
    <x v="43"/>
    <x v="191"/>
    <x v="82"/>
    <x v="0"/>
    <x v="129"/>
    <x v="54"/>
    <x v="21"/>
    <x v="8"/>
    <x v="5"/>
    <x v="3"/>
    <x v="2"/>
    <x v="0"/>
    <x v="0"/>
    <x v="0"/>
    <x v="0"/>
    <x v="0"/>
    <x v="0"/>
    <x v="1"/>
    <x v="1"/>
    <x v="0"/>
    <x v="0"/>
    <x v="0"/>
    <x v="0"/>
    <x v="1"/>
    <x v="3"/>
    <x v="0"/>
    <x v="0"/>
    <x v="0"/>
    <x v="1"/>
    <x v="6"/>
    <x v="5"/>
    <x v="0"/>
    <x v="0"/>
    <x v="5"/>
    <x v="0"/>
    <x v="0"/>
    <x v="36"/>
    <x v="0"/>
    <x v="60"/>
    <x v="0"/>
    <x v="22"/>
    <x v="0"/>
    <x v="1"/>
    <x v="2"/>
    <x v="77"/>
    <x v="2"/>
    <x v="141"/>
    <x v="34"/>
    <x v="110"/>
    <x v="28"/>
    <x v="31"/>
    <x v="1"/>
    <x v="12"/>
  </r>
  <r>
    <x v="169"/>
    <x v="88"/>
    <x v="0"/>
    <x v="4"/>
    <x v="20"/>
    <x v="112"/>
    <x v="158"/>
    <x v="111"/>
    <x v="71"/>
    <x v="130"/>
    <x v="113"/>
    <x v="68"/>
    <x v="0"/>
    <x v="0"/>
    <x v="0"/>
    <x v="0"/>
    <x v="0"/>
    <x v="0"/>
    <x v="3"/>
    <x v="2"/>
    <x v="0"/>
    <x v="0"/>
    <x v="0"/>
    <x v="0"/>
    <x v="0"/>
    <x v="0"/>
    <x v="1"/>
    <x v="4"/>
    <x v="1"/>
    <x v="8"/>
    <x v="2"/>
    <x v="35"/>
    <x v="2"/>
    <x v="22"/>
    <x v="0"/>
    <x v="0"/>
    <x v="4"/>
    <x v="29"/>
    <x v="64"/>
    <x v="55"/>
    <x v="0"/>
    <x v="0"/>
    <x v="106"/>
    <x v="0"/>
    <x v="0"/>
    <x v="36"/>
    <x v="0"/>
    <x v="60"/>
    <x v="0"/>
    <x v="22"/>
    <x v="16"/>
    <x v="17"/>
    <x v="29"/>
    <x v="153"/>
    <x v="2"/>
    <x v="136"/>
    <x v="11"/>
    <x v="110"/>
    <x v="28"/>
    <x v="109"/>
    <x v="108"/>
    <x v="13"/>
  </r>
  <r>
    <x v="172"/>
    <x v="89"/>
    <x v="0"/>
    <x v="4"/>
    <x v="20"/>
    <x v="183"/>
    <x v="144"/>
    <x v="149"/>
    <x v="102"/>
    <x v="158"/>
    <x v="13"/>
    <x v="69"/>
    <x v="0"/>
    <x v="0"/>
    <x v="0"/>
    <x v="0"/>
    <x v="0"/>
    <x v="0"/>
    <x v="3"/>
    <x v="2"/>
    <x v="0"/>
    <x v="0"/>
    <x v="0"/>
    <x v="0"/>
    <x v="1"/>
    <x v="10"/>
    <x v="2"/>
    <x v="25"/>
    <x v="3"/>
    <x v="44"/>
    <x v="2"/>
    <x v="40"/>
    <x v="2"/>
    <x v="41"/>
    <x v="0"/>
    <x v="0"/>
    <x v="8"/>
    <x v="108"/>
    <x v="157"/>
    <x v="159"/>
    <x v="35"/>
    <x v="34"/>
    <x v="159"/>
    <x v="0"/>
    <x v="1"/>
    <x v="13"/>
    <x v="1"/>
    <x v="31"/>
    <x v="1"/>
    <x v="8"/>
    <x v="36"/>
    <x v="32"/>
    <x v="64"/>
    <x v="94"/>
    <x v="8"/>
    <x v="30"/>
    <x v="18"/>
    <x v="71"/>
    <x v="1"/>
    <x v="170"/>
    <x v="77"/>
    <x v="8"/>
  </r>
  <r>
    <x v="58"/>
    <x v="90"/>
    <x v="0"/>
    <x v="4"/>
    <x v="6"/>
    <x v="6"/>
    <x v="172"/>
    <x v="94"/>
    <x v="163"/>
    <x v="94"/>
    <x v="122"/>
    <x v="28"/>
    <x v="1"/>
    <x v="31"/>
    <x v="6"/>
    <x v="21"/>
    <x v="8"/>
    <x v="5"/>
    <x v="3"/>
    <x v="2"/>
    <x v="1"/>
    <x v="0"/>
    <x v="0"/>
    <x v="0"/>
    <x v="4"/>
    <x v="39"/>
    <x v="2"/>
    <x v="32"/>
    <x v="3"/>
    <x v="46"/>
    <x v="2"/>
    <x v="35"/>
    <x v="2"/>
    <x v="44"/>
    <x v="1"/>
    <x v="8"/>
    <x v="12"/>
    <x v="140"/>
    <x v="180"/>
    <x v="183"/>
    <x v="36"/>
    <x v="39"/>
    <x v="142"/>
    <x v="9"/>
    <x v="2"/>
    <x v="9"/>
    <x v="0"/>
    <x v="60"/>
    <x v="1"/>
    <x v="3"/>
    <x v="46"/>
    <x v="63"/>
    <x v="93"/>
    <x v="8"/>
    <x v="1"/>
    <x v="122"/>
    <x v="20"/>
    <x v="25"/>
    <x v="21"/>
    <x v="61"/>
    <x v="13"/>
    <x v="15"/>
  </r>
  <r>
    <x v="55"/>
    <x v="91"/>
    <x v="0"/>
    <x v="4"/>
    <x v="12"/>
    <x v="36"/>
    <x v="104"/>
    <x v="22"/>
    <x v="173"/>
    <x v="15"/>
    <x v="9"/>
    <x v="165"/>
    <x v="0"/>
    <x v="129"/>
    <x v="54"/>
    <x v="21"/>
    <x v="8"/>
    <x v="5"/>
    <x v="3"/>
    <x v="2"/>
    <x v="0"/>
    <x v="1"/>
    <x v="0"/>
    <x v="1"/>
    <x v="2"/>
    <x v="19"/>
    <x v="1"/>
    <x v="11"/>
    <x v="2"/>
    <x v="36"/>
    <x v="1"/>
    <x v="13"/>
    <x v="1"/>
    <x v="9"/>
    <x v="0"/>
    <x v="0"/>
    <x v="5"/>
    <x v="56"/>
    <x v="71"/>
    <x v="92"/>
    <x v="1"/>
    <x v="18"/>
    <x v="54"/>
    <x v="0"/>
    <x v="1"/>
    <x v="19"/>
    <x v="0"/>
    <x v="60"/>
    <x v="0"/>
    <x v="22"/>
    <x v="15"/>
    <x v="31"/>
    <x v="38"/>
    <x v="40"/>
    <x v="5"/>
    <x v="40"/>
    <x v="6"/>
    <x v="110"/>
    <x v="28"/>
    <x v="34"/>
    <x v="184"/>
    <x v="16"/>
  </r>
  <r>
    <x v="133"/>
    <x v="92"/>
    <x v="0"/>
    <x v="4"/>
    <x v="7"/>
    <x v="126"/>
    <x v="132"/>
    <x v="27"/>
    <x v="144"/>
    <x v="44"/>
    <x v="3"/>
    <x v="157"/>
    <x v="0"/>
    <x v="93"/>
    <x v="54"/>
    <x v="21"/>
    <x v="8"/>
    <x v="5"/>
    <x v="3"/>
    <x v="2"/>
    <x v="2"/>
    <x v="0"/>
    <x v="0"/>
    <x v="0"/>
    <x v="2"/>
    <x v="17"/>
    <x v="1"/>
    <x v="10"/>
    <x v="1"/>
    <x v="11"/>
    <x v="2"/>
    <x v="33"/>
    <x v="2"/>
    <x v="22"/>
    <x v="0"/>
    <x v="0"/>
    <x v="6"/>
    <x v="59"/>
    <x v="85"/>
    <x v="88"/>
    <x v="0"/>
    <x v="0"/>
    <x v="14"/>
    <x v="0"/>
    <x v="0"/>
    <x v="36"/>
    <x v="0"/>
    <x v="60"/>
    <x v="0"/>
    <x v="22"/>
    <x v="16"/>
    <x v="40"/>
    <x v="44"/>
    <x v="87"/>
    <x v="11"/>
    <x v="137"/>
    <x v="9"/>
    <x v="44"/>
    <x v="7"/>
    <x v="33"/>
    <x v="134"/>
    <x v="12"/>
  </r>
  <r>
    <x v="71"/>
    <x v="93"/>
    <x v="0"/>
    <x v="4"/>
    <x v="12"/>
    <x v="5"/>
    <x v="159"/>
    <x v="9"/>
    <x v="132"/>
    <x v="45"/>
    <x v="166"/>
    <x v="152"/>
    <x v="0"/>
    <x v="43"/>
    <x v="54"/>
    <x v="21"/>
    <x v="8"/>
    <x v="5"/>
    <x v="3"/>
    <x v="2"/>
    <x v="0"/>
    <x v="0"/>
    <x v="0"/>
    <x v="0"/>
    <x v="1"/>
    <x v="8"/>
    <x v="3"/>
    <x v="45"/>
    <x v="1"/>
    <x v="13"/>
    <x v="2"/>
    <x v="39"/>
    <x v="1"/>
    <x v="14"/>
    <x v="0"/>
    <x v="0"/>
    <x v="6"/>
    <x v="75"/>
    <x v="115"/>
    <x v="107"/>
    <x v="0"/>
    <x v="0"/>
    <x v="108"/>
    <x v="0"/>
    <x v="2"/>
    <x v="10"/>
    <x v="3"/>
    <x v="14"/>
    <x v="0"/>
    <x v="22"/>
    <x v="23"/>
    <x v="33"/>
    <x v="50"/>
    <x v="121"/>
    <x v="29"/>
    <x v="29"/>
    <x v="29"/>
    <x v="103"/>
    <x v="24"/>
    <x v="78"/>
    <x v="137"/>
    <x v="16"/>
  </r>
  <r>
    <x v="128"/>
    <x v="94"/>
    <x v="0"/>
    <x v="4"/>
    <x v="12"/>
    <x v="32"/>
    <x v="1"/>
    <x v="134"/>
    <x v="0"/>
    <x v="122"/>
    <x v="93"/>
    <x v="167"/>
    <x v="0"/>
    <x v="129"/>
    <x v="54"/>
    <x v="21"/>
    <x v="8"/>
    <x v="5"/>
    <x v="3"/>
    <x v="2"/>
    <x v="1"/>
    <x v="0"/>
    <x v="0"/>
    <x v="1"/>
    <x v="1"/>
    <x v="8"/>
    <x v="2"/>
    <x v="25"/>
    <x v="2"/>
    <x v="35"/>
    <x v="1"/>
    <x v="15"/>
    <x v="2"/>
    <x v="34"/>
    <x v="0"/>
    <x v="0"/>
    <x v="6"/>
    <x v="70"/>
    <x v="149"/>
    <x v="105"/>
    <x v="41"/>
    <x v="19"/>
    <x v="94"/>
    <x v="0"/>
    <x v="0"/>
    <x v="36"/>
    <x v="2"/>
    <x v="18"/>
    <x v="0"/>
    <x v="22"/>
    <x v="24"/>
    <x v="27"/>
    <x v="44"/>
    <x v="131"/>
    <x v="15"/>
    <x v="56"/>
    <x v="4"/>
    <x v="68"/>
    <x v="6"/>
    <x v="147"/>
    <x v="177"/>
    <x v="9"/>
  </r>
  <r>
    <x v="80"/>
    <x v="96"/>
    <x v="0"/>
    <x v="4"/>
    <x v="15"/>
    <x v="141"/>
    <x v="178"/>
    <x v="71"/>
    <x v="42"/>
    <x v="163"/>
    <x v="165"/>
    <x v="160"/>
    <x v="2"/>
    <x v="125"/>
    <x v="44"/>
    <x v="10"/>
    <x v="8"/>
    <x v="5"/>
    <x v="3"/>
    <x v="2"/>
    <x v="2"/>
    <x v="0"/>
    <x v="1"/>
    <x v="3"/>
    <x v="2"/>
    <x v="19"/>
    <x v="2"/>
    <x v="21"/>
    <x v="2"/>
    <x v="30"/>
    <x v="2"/>
    <x v="33"/>
    <x v="2"/>
    <x v="42"/>
    <x v="0"/>
    <x v="0"/>
    <x v="8"/>
    <x v="99"/>
    <x v="131"/>
    <x v="167"/>
    <x v="0"/>
    <x v="0"/>
    <x v="98"/>
    <x v="0"/>
    <x v="0"/>
    <x v="36"/>
    <x v="0"/>
    <x v="60"/>
    <x v="0"/>
    <x v="22"/>
    <x v="30"/>
    <x v="45"/>
    <x v="66"/>
    <x v="74"/>
    <x v="14"/>
    <x v="81"/>
    <x v="1"/>
    <x v="46"/>
    <x v="0"/>
    <x v="177"/>
    <x v="35"/>
    <x v="16"/>
  </r>
  <r>
    <x v="17"/>
    <x v="97"/>
    <x v="0"/>
    <x v="4"/>
    <x v="10"/>
    <x v="77"/>
    <x v="36"/>
    <x v="5"/>
    <x v="72"/>
    <x v="139"/>
    <x v="39"/>
    <x v="141"/>
    <x v="1"/>
    <x v="113"/>
    <x v="48"/>
    <x v="21"/>
    <x v="8"/>
    <x v="5"/>
    <x v="3"/>
    <x v="2"/>
    <x v="0"/>
    <x v="1"/>
    <x v="3"/>
    <x v="1"/>
    <x v="0"/>
    <x v="0"/>
    <x v="1"/>
    <x v="3"/>
    <x v="2"/>
    <x v="30"/>
    <x v="2"/>
    <x v="37"/>
    <x v="2"/>
    <x v="43"/>
    <x v="0"/>
    <x v="0"/>
    <x v="5"/>
    <x v="58"/>
    <x v="100"/>
    <x v="101"/>
    <x v="22"/>
    <x v="15"/>
    <x v="104"/>
    <x v="0"/>
    <x v="1"/>
    <x v="7"/>
    <x v="1"/>
    <x v="2"/>
    <x v="0"/>
    <x v="22"/>
    <x v="26"/>
    <x v="26"/>
    <x v="45"/>
    <x v="82"/>
    <x v="18"/>
    <x v="76"/>
    <x v="30"/>
    <x v="95"/>
    <x v="0"/>
    <x v="125"/>
    <x v="168"/>
    <x v="13"/>
  </r>
  <r>
    <x v="165"/>
    <x v="98"/>
    <x v="0"/>
    <x v="4"/>
    <x v="10"/>
    <x v="86"/>
    <x v="37"/>
    <x v="51"/>
    <x v="73"/>
    <x v="86"/>
    <x v="85"/>
    <x v="110"/>
    <x v="0"/>
    <x v="99"/>
    <x v="54"/>
    <x v="21"/>
    <x v="8"/>
    <x v="5"/>
    <x v="3"/>
    <x v="2"/>
    <x v="0"/>
    <x v="0"/>
    <x v="0"/>
    <x v="0"/>
    <x v="0"/>
    <x v="0"/>
    <x v="2"/>
    <x v="22"/>
    <x v="1"/>
    <x v="7"/>
    <x v="2"/>
    <x v="35"/>
    <x v="1"/>
    <x v="5"/>
    <x v="0"/>
    <x v="0"/>
    <x v="4"/>
    <x v="34"/>
    <x v="66"/>
    <x v="48"/>
    <x v="0"/>
    <x v="0"/>
    <x v="152"/>
    <x v="9"/>
    <x v="0"/>
    <x v="36"/>
    <x v="0"/>
    <x v="60"/>
    <x v="0"/>
    <x v="22"/>
    <x v="16"/>
    <x v="19"/>
    <x v="31"/>
    <x v="90"/>
    <x v="14"/>
    <x v="110"/>
    <x v="2"/>
    <x v="90"/>
    <x v="12"/>
    <x v="86"/>
    <x v="102"/>
    <x v="14"/>
  </r>
  <r>
    <x v="62"/>
    <x v="99"/>
    <x v="0"/>
    <x v="4"/>
    <x v="3"/>
    <x v="150"/>
    <x v="27"/>
    <x v="38"/>
    <x v="43"/>
    <x v="140"/>
    <x v="37"/>
    <x v="41"/>
    <x v="0"/>
    <x v="23"/>
    <x v="54"/>
    <x v="21"/>
    <x v="8"/>
    <x v="5"/>
    <x v="3"/>
    <x v="2"/>
    <x v="0"/>
    <x v="0"/>
    <x v="0"/>
    <x v="0"/>
    <x v="0"/>
    <x v="0"/>
    <x v="1"/>
    <x v="4"/>
    <x v="1"/>
    <x v="11"/>
    <x v="1"/>
    <x v="10"/>
    <x v="2"/>
    <x v="32"/>
    <x v="0"/>
    <x v="0"/>
    <x v="3"/>
    <x v="21"/>
    <x v="43"/>
    <x v="66"/>
    <x v="0"/>
    <x v="0"/>
    <x v="96"/>
    <x v="0"/>
    <x v="0"/>
    <x v="36"/>
    <x v="0"/>
    <x v="60"/>
    <x v="0"/>
    <x v="22"/>
    <x v="12"/>
    <x v="13"/>
    <x v="20"/>
    <x v="3"/>
    <x v="8"/>
    <x v="21"/>
    <x v="1"/>
    <x v="14"/>
    <x v="20"/>
    <x v="32"/>
    <x v="139"/>
    <x v="15"/>
  </r>
  <r>
    <x v="23"/>
    <x v="100"/>
    <x v="0"/>
    <x v="4"/>
    <x v="15"/>
    <x v="109"/>
    <x v="179"/>
    <x v="97"/>
    <x v="74"/>
    <x v="46"/>
    <x v="12"/>
    <x v="54"/>
    <x v="2"/>
    <x v="88"/>
    <x v="39"/>
    <x v="18"/>
    <x v="8"/>
    <x v="5"/>
    <x v="3"/>
    <x v="2"/>
    <x v="1"/>
    <x v="0"/>
    <x v="1"/>
    <x v="0"/>
    <x v="2"/>
    <x v="18"/>
    <x v="2"/>
    <x v="24"/>
    <x v="2"/>
    <x v="32"/>
    <x v="2"/>
    <x v="36"/>
    <x v="2"/>
    <x v="45"/>
    <x v="0"/>
    <x v="0"/>
    <x v="8"/>
    <x v="104"/>
    <x v="150"/>
    <x v="161"/>
    <x v="0"/>
    <x v="0"/>
    <x v="102"/>
    <x v="21"/>
    <x v="0"/>
    <x v="36"/>
    <x v="0"/>
    <x v="60"/>
    <x v="0"/>
    <x v="22"/>
    <x v="30"/>
    <x v="52"/>
    <x v="72"/>
    <x v="114"/>
    <x v="30"/>
    <x v="141"/>
    <x v="34"/>
    <x v="110"/>
    <x v="28"/>
    <x v="169"/>
    <x v="90"/>
    <x v="14"/>
  </r>
  <r>
    <x v="102"/>
    <x v="101"/>
    <x v="0"/>
    <x v="4"/>
    <x v="7"/>
    <x v="98"/>
    <x v="5"/>
    <x v="152"/>
    <x v="29"/>
    <x v="66"/>
    <x v="145"/>
    <x v="88"/>
    <x v="0"/>
    <x v="83"/>
    <x v="54"/>
    <x v="21"/>
    <x v="8"/>
    <x v="5"/>
    <x v="3"/>
    <x v="2"/>
    <x v="1"/>
    <x v="0"/>
    <x v="0"/>
    <x v="0"/>
    <x v="0"/>
    <x v="0"/>
    <x v="1"/>
    <x v="6"/>
    <x v="2"/>
    <x v="27"/>
    <x v="1"/>
    <x v="16"/>
    <x v="2"/>
    <x v="20"/>
    <x v="0"/>
    <x v="0"/>
    <x v="4"/>
    <x v="30"/>
    <x v="2"/>
    <x v="1"/>
    <x v="0"/>
    <x v="42"/>
    <x v="31"/>
    <x v="0"/>
    <x v="0"/>
    <x v="36"/>
    <x v="0"/>
    <x v="60"/>
    <x v="0"/>
    <x v="22"/>
    <x v="16"/>
    <x v="16"/>
    <x v="28"/>
    <x v="156"/>
    <x v="33"/>
    <x v="141"/>
    <x v="34"/>
    <x v="110"/>
    <x v="28"/>
    <x v="146"/>
    <x v="83"/>
    <x v="10"/>
  </r>
  <r>
    <x v="144"/>
    <x v="102"/>
    <x v="0"/>
    <x v="4"/>
    <x v="11"/>
    <x v="68"/>
    <x v="39"/>
    <x v="20"/>
    <x v="98"/>
    <x v="70"/>
    <x v="29"/>
    <x v="18"/>
    <x v="3"/>
    <x v="55"/>
    <x v="24"/>
    <x v="6"/>
    <x v="4"/>
    <x v="5"/>
    <x v="3"/>
    <x v="2"/>
    <x v="0"/>
    <x v="0"/>
    <x v="0"/>
    <x v="0"/>
    <x v="0"/>
    <x v="0"/>
    <x v="1"/>
    <x v="4"/>
    <x v="1"/>
    <x v="8"/>
    <x v="1"/>
    <x v="8"/>
    <x v="1"/>
    <x v="6"/>
    <x v="0"/>
    <x v="0"/>
    <x v="2"/>
    <x v="6"/>
    <x v="16"/>
    <x v="10"/>
    <x v="0"/>
    <x v="0"/>
    <x v="6"/>
    <x v="0"/>
    <x v="0"/>
    <x v="36"/>
    <x v="0"/>
    <x v="60"/>
    <x v="0"/>
    <x v="22"/>
    <x v="5"/>
    <x v="6"/>
    <x v="9"/>
    <x v="51"/>
    <x v="15"/>
    <x v="38"/>
    <x v="9"/>
    <x v="110"/>
    <x v="28"/>
    <x v="65"/>
    <x v="123"/>
    <x v="12"/>
  </r>
  <r>
    <x v="91"/>
    <x v="103"/>
    <x v="0"/>
    <x v="4"/>
    <x v="2"/>
    <x v="108"/>
    <x v="193"/>
    <x v="141"/>
    <x v="52"/>
    <x v="75"/>
    <x v="152"/>
    <x v="42"/>
    <x v="0"/>
    <x v="87"/>
    <x v="54"/>
    <x v="21"/>
    <x v="8"/>
    <x v="5"/>
    <x v="3"/>
    <x v="2"/>
    <x v="1"/>
    <x v="0"/>
    <x v="0"/>
    <x v="2"/>
    <x v="2"/>
    <x v="16"/>
    <x v="1"/>
    <x v="10"/>
    <x v="1"/>
    <x v="7"/>
    <x v="1"/>
    <x v="11"/>
    <x v="1"/>
    <x v="11"/>
    <x v="0"/>
    <x v="0"/>
    <x v="4"/>
    <x v="35"/>
    <x v="48"/>
    <x v="32"/>
    <x v="30"/>
    <x v="0"/>
    <x v="18"/>
    <x v="0"/>
    <x v="0"/>
    <x v="36"/>
    <x v="1"/>
    <x v="2"/>
    <x v="0"/>
    <x v="22"/>
    <x v="13"/>
    <x v="25"/>
    <x v="32"/>
    <x v="139"/>
    <x v="11"/>
    <x v="129"/>
    <x v="16"/>
    <x v="110"/>
    <x v="28"/>
    <x v="20"/>
    <x v="14"/>
    <x v="19"/>
  </r>
  <r>
    <x v="182"/>
    <x v="104"/>
    <x v="0"/>
    <x v="4"/>
    <x v="19"/>
    <x v="172"/>
    <x v="21"/>
    <x v="179"/>
    <x v="178"/>
    <x v="120"/>
    <x v="5"/>
    <x v="21"/>
    <x v="0"/>
    <x v="9"/>
    <x v="54"/>
    <x v="21"/>
    <x v="8"/>
    <x v="5"/>
    <x v="3"/>
    <x v="2"/>
    <x v="1"/>
    <x v="0"/>
    <x v="0"/>
    <x v="1"/>
    <x v="1"/>
    <x v="7"/>
    <x v="1"/>
    <x v="6"/>
    <x v="2"/>
    <x v="30"/>
    <x v="1"/>
    <x v="14"/>
    <x v="1"/>
    <x v="13"/>
    <x v="0"/>
    <x v="0"/>
    <x v="4"/>
    <x v="43"/>
    <x v="54"/>
    <x v="50"/>
    <x v="0"/>
    <x v="0"/>
    <x v="66"/>
    <x v="3"/>
    <x v="0"/>
    <x v="36"/>
    <x v="0"/>
    <x v="60"/>
    <x v="0"/>
    <x v="22"/>
    <x v="11"/>
    <x v="20"/>
    <x v="24"/>
    <x v="132"/>
    <x v="1"/>
    <x v="113"/>
    <x v="10"/>
    <x v="110"/>
    <x v="28"/>
    <x v="184"/>
    <x v="148"/>
    <x v="21"/>
  </r>
  <r>
    <x v="52"/>
    <x v="107"/>
    <x v="0"/>
    <x v="4"/>
    <x v="11"/>
    <x v="21"/>
    <x v="0"/>
    <x v="181"/>
    <x v="44"/>
    <x v="69"/>
    <x v="51"/>
    <x v="112"/>
    <x v="0"/>
    <x v="129"/>
    <x v="54"/>
    <x v="21"/>
    <x v="8"/>
    <x v="5"/>
    <x v="3"/>
    <x v="2"/>
    <x v="0"/>
    <x v="0"/>
    <x v="2"/>
    <x v="2"/>
    <x v="2"/>
    <x v="21"/>
    <x v="1"/>
    <x v="11"/>
    <x v="2"/>
    <x v="26"/>
    <x v="1"/>
    <x v="14"/>
    <x v="2"/>
    <x v="42"/>
    <x v="0"/>
    <x v="0"/>
    <x v="6"/>
    <x v="71"/>
    <x v="84"/>
    <x v="108"/>
    <x v="0"/>
    <x v="0"/>
    <x v="110"/>
    <x v="0"/>
    <x v="0"/>
    <x v="36"/>
    <x v="0"/>
    <x v="60"/>
    <x v="0"/>
    <x v="22"/>
    <x v="18"/>
    <x v="36"/>
    <x v="46"/>
    <x v="156"/>
    <x v="4"/>
    <x v="141"/>
    <x v="34"/>
    <x v="110"/>
    <x v="28"/>
    <x v="52"/>
    <x v="119"/>
    <x v="1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191" firstHeaderRow="1" firstDataRow="1" firstDataCol="2"/>
  <pivotFields count="62">
    <pivotField compact="0" showAll="0"/>
    <pivotField compact="0" showAll="0"/>
    <pivotField compact="0" showAll="0"/>
    <pivotField compact="0" showAll="0"/>
    <pivotField axis="axisRow" compact="0" showAll="0" defaultSubtotal="0" outline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1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4"/>
    <field x="37"/>
  </rowFields>
  <rowItems count="190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 t="grand">
      <x v="189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K1195"/>
  <sheetViews>
    <sheetView showFormulas="false" showGridLines="true" showRowColHeaders="true" showZeros="true" rightToLeft="false" tabSelected="false" showOutlineSymbols="true" defaultGridColor="true" view="normal" topLeftCell="AJ1" colorId="64" zoomScale="120" zoomScaleNormal="120" zoomScalePageLayoutView="100" workbookViewId="0">
      <pane xSplit="0" ySplit="1" topLeftCell="A2" activePane="bottomLeft" state="frozen"/>
      <selection pane="topLeft" activeCell="AJ1" activeCellId="0" sqref="AJ1"/>
      <selection pane="bottomLeft" activeCell="AL80" activeCellId="1" sqref="E191:G191 AL80"/>
    </sheetView>
  </sheetViews>
  <sheetFormatPr defaultColWidth="39.4453125" defaultRowHeight="14.25" customHeight="true" zeroHeight="false" outlineLevelRow="0" outlineLevelCol="0"/>
  <cols>
    <col collapsed="false" customWidth="true" hidden="false" outlineLevel="0" max="1" min="1" style="1" width="38.67"/>
    <col collapsed="false" customWidth="true" hidden="false" outlineLevel="0" max="2" min="2" style="1" width="48"/>
    <col collapsed="false" customWidth="true" hidden="false" outlineLevel="0" max="3" min="3" style="1" width="14.33"/>
    <col collapsed="false" customWidth="true" hidden="false" outlineLevel="0" max="4" min="4" style="1" width="15"/>
    <col collapsed="false" customWidth="true" hidden="false" outlineLevel="0" max="5" min="5" style="1" width="19.11"/>
    <col collapsed="false" customWidth="true" hidden="false" outlineLevel="0" max="6" min="6" style="1" width="56.44"/>
    <col collapsed="false" customWidth="true" hidden="false" outlineLevel="0" max="7" min="7" style="2" width="14"/>
    <col collapsed="false" customWidth="true" hidden="false" outlineLevel="0" max="8" min="8" style="1" width="35.44"/>
    <col collapsed="false" customWidth="true" hidden="false" outlineLevel="0" max="12" min="9" style="1" width="11.53"/>
    <col collapsed="false" customWidth="true" hidden="false" outlineLevel="0" max="13" min="13" style="2" width="11.53"/>
    <col collapsed="false" customWidth="true" hidden="false" outlineLevel="0" max="14" min="14" style="1" width="45"/>
    <col collapsed="false" customWidth="true" hidden="false" outlineLevel="0" max="24" min="15" style="1" width="11.53"/>
    <col collapsed="false" customWidth="true" hidden="false" outlineLevel="0" max="25" min="25" style="1" width="13.77"/>
    <col collapsed="false" customWidth="true" hidden="false" outlineLevel="0" max="26" min="26" style="3" width="12.67"/>
    <col collapsed="false" customWidth="true" hidden="false" outlineLevel="0" max="27" min="27" style="1" width="12.56"/>
    <col collapsed="false" customWidth="true" hidden="false" outlineLevel="0" max="28" min="28" style="1" width="13.77"/>
    <col collapsed="false" customWidth="true" hidden="false" outlineLevel="0" max="29" min="29" style="1" width="13.56"/>
    <col collapsed="false" customWidth="true" hidden="false" outlineLevel="0" max="30" min="30" style="1" width="13.77"/>
    <col collapsed="false" customWidth="true" hidden="false" outlineLevel="0" max="31" min="31" style="1" width="26.44"/>
    <col collapsed="false" customWidth="true" hidden="false" outlineLevel="0" max="32" min="32" style="1" width="15.11"/>
    <col collapsed="false" customWidth="true" hidden="false" outlineLevel="0" max="33" min="33" style="1" width="27.11"/>
    <col collapsed="false" customWidth="true" hidden="false" outlineLevel="0" max="34" min="34" style="1" width="12.88"/>
    <col collapsed="false" customWidth="true" hidden="false" outlineLevel="0" max="35" min="35" style="1" width="17.67"/>
    <col collapsed="false" customWidth="true" hidden="false" outlineLevel="0" max="36" min="36" style="1" width="12.77"/>
    <col collapsed="false" customWidth="true" hidden="false" outlineLevel="0" max="37" min="37" style="1" width="18.88"/>
    <col collapsed="false" customWidth="true" hidden="false" outlineLevel="0" max="38" min="38" style="4" width="18.88"/>
    <col collapsed="false" customWidth="true" hidden="false" outlineLevel="0" max="44" min="39" style="5" width="11.53"/>
    <col collapsed="false" customWidth="true" hidden="false" outlineLevel="0" max="45" min="45" style="6" width="19.56"/>
    <col collapsed="false" customWidth="true" hidden="false" outlineLevel="0" max="46" min="46" style="1" width="11.53"/>
    <col collapsed="false" customWidth="true" hidden="false" outlineLevel="0" max="47" min="47" style="6" width="19.56"/>
    <col collapsed="false" customWidth="true" hidden="false" outlineLevel="0" max="48" min="48" style="1" width="11.53"/>
    <col collapsed="false" customWidth="true" hidden="false" outlineLevel="0" max="49" min="49" style="6" width="19.56"/>
    <col collapsed="false" customWidth="true" hidden="false" outlineLevel="0" max="50" min="50" style="1" width="11.53"/>
    <col collapsed="false" customWidth="true" hidden="false" outlineLevel="0" max="51" min="51" style="5" width="27.88"/>
    <col collapsed="false" customWidth="true" hidden="false" outlineLevel="0" max="52" min="52" style="5" width="30.44"/>
    <col collapsed="false" customWidth="true" hidden="false" outlineLevel="0" max="53" min="53" style="5" width="26.33"/>
    <col collapsed="false" customWidth="true" hidden="false" outlineLevel="0" max="54" min="54" style="1" width="11.53"/>
    <col collapsed="false" customWidth="true" hidden="false" outlineLevel="0" max="55" min="55" style="6" width="17.88"/>
    <col collapsed="false" customWidth="true" hidden="false" outlineLevel="0" max="56" min="56" style="1" width="11.53"/>
    <col collapsed="false" customWidth="true" hidden="false" outlineLevel="0" max="57" min="57" style="6" width="18"/>
    <col collapsed="false" customWidth="true" hidden="false" outlineLevel="0" max="58" min="58" style="1" width="11.53"/>
    <col collapsed="false" customWidth="true" hidden="false" outlineLevel="0" max="59" min="59" style="6" width="17.56"/>
    <col collapsed="false" customWidth="true" hidden="false" outlineLevel="0" max="61" min="60" style="5" width="11.53"/>
    <col collapsed="false" customWidth="true" hidden="false" outlineLevel="0" max="62" min="62" style="7" width="14.88"/>
    <col collapsed="false" customWidth="false" hidden="false" outlineLevel="0" max="63" min="63" style="1" width="39.44"/>
    <col collapsed="false" customWidth="false" hidden="false" outlineLevel="0" max="16384" min="64" style="8" width="39.44"/>
  </cols>
  <sheetData>
    <row r="1" s="1" customFormat="true" ht="15" hidden="false" customHeight="false" outlineLevel="0" collapsed="false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10" t="s">
        <v>26</v>
      </c>
      <c r="AB1" s="10" t="s">
        <v>25</v>
      </c>
      <c r="AC1" s="10" t="s">
        <v>27</v>
      </c>
      <c r="AD1" s="10" t="s">
        <v>25</v>
      </c>
      <c r="AE1" s="10" t="s">
        <v>28</v>
      </c>
      <c r="AF1" s="10" t="s">
        <v>25</v>
      </c>
      <c r="AG1" s="10" t="s">
        <v>29</v>
      </c>
      <c r="AH1" s="10" t="s">
        <v>25</v>
      </c>
      <c r="AI1" s="10" t="s">
        <v>30</v>
      </c>
      <c r="AJ1" s="10" t="s">
        <v>25</v>
      </c>
      <c r="AK1" s="10" t="s">
        <v>31</v>
      </c>
      <c r="AL1" s="12" t="s">
        <v>32</v>
      </c>
      <c r="AM1" s="13" t="s">
        <v>33</v>
      </c>
      <c r="AN1" s="13" t="s">
        <v>34</v>
      </c>
      <c r="AO1" s="13" t="s">
        <v>35</v>
      </c>
      <c r="AP1" s="13" t="s">
        <v>36</v>
      </c>
      <c r="AQ1" s="13" t="s">
        <v>37</v>
      </c>
      <c r="AR1" s="13" t="s">
        <v>38</v>
      </c>
      <c r="AS1" s="14" t="s">
        <v>39</v>
      </c>
      <c r="AT1" s="15" t="s">
        <v>40</v>
      </c>
      <c r="AU1" s="14" t="s">
        <v>41</v>
      </c>
      <c r="AV1" s="15" t="s">
        <v>42</v>
      </c>
      <c r="AW1" s="14" t="s">
        <v>43</v>
      </c>
      <c r="AX1" s="15" t="s">
        <v>44</v>
      </c>
      <c r="AY1" s="13" t="s">
        <v>45</v>
      </c>
      <c r="AZ1" s="13" t="s">
        <v>46</v>
      </c>
      <c r="BA1" s="16" t="s">
        <v>47</v>
      </c>
      <c r="BB1" s="9" t="s">
        <v>48</v>
      </c>
      <c r="BC1" s="17" t="s">
        <v>49</v>
      </c>
      <c r="BD1" s="9" t="s">
        <v>50</v>
      </c>
      <c r="BE1" s="17" t="s">
        <v>51</v>
      </c>
      <c r="BF1" s="9" t="s">
        <v>52</v>
      </c>
      <c r="BG1" s="17" t="s">
        <v>53</v>
      </c>
      <c r="BH1" s="13" t="s">
        <v>54</v>
      </c>
      <c r="BI1" s="13" t="s">
        <v>55</v>
      </c>
      <c r="BJ1" s="18" t="s">
        <v>56</v>
      </c>
      <c r="BK1" s="8"/>
    </row>
    <row r="2" s="1" customFormat="true" ht="14.25" hidden="true" customHeight="false" outlineLevel="0" collapsed="false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2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M2" s="2" t="n">
        <v>1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1</v>
      </c>
      <c r="Z2" s="3" t="n">
        <v>27</v>
      </c>
      <c r="AA2" s="1" t="n">
        <v>2</v>
      </c>
      <c r="AB2" s="1" t="n">
        <v>49</v>
      </c>
      <c r="AC2" s="1" t="n">
        <v>1</v>
      </c>
      <c r="AD2" s="1" t="n">
        <v>28</v>
      </c>
      <c r="AE2" s="1" t="n">
        <v>1</v>
      </c>
      <c r="AF2" s="1" t="n">
        <v>32</v>
      </c>
      <c r="AG2" s="1" t="n">
        <v>1</v>
      </c>
      <c r="AH2" s="1" t="n">
        <v>31</v>
      </c>
      <c r="AI2" s="1" t="n">
        <v>0</v>
      </c>
      <c r="AJ2" s="1" t="n">
        <v>0</v>
      </c>
      <c r="AK2" s="1" t="n">
        <v>6</v>
      </c>
      <c r="AL2" s="4" t="n">
        <v>167</v>
      </c>
      <c r="AM2" s="5" t="n">
        <v>458578</v>
      </c>
      <c r="AN2" s="5" t="n">
        <v>382089</v>
      </c>
      <c r="AO2" s="5" t="n">
        <v>0</v>
      </c>
      <c r="AP2" s="5" t="n">
        <v>5219</v>
      </c>
      <c r="AQ2" s="5" t="n">
        <v>9229</v>
      </c>
      <c r="AR2" s="5" t="n">
        <v>1159</v>
      </c>
      <c r="AS2" s="6" t="n">
        <v>0</v>
      </c>
      <c r="AU2" s="6" t="n">
        <v>0</v>
      </c>
      <c r="AW2" s="6" t="n">
        <v>0</v>
      </c>
      <c r="AY2" s="5" t="n">
        <v>11.5</v>
      </c>
      <c r="AZ2" s="5" t="n">
        <v>13.03</v>
      </c>
      <c r="BA2" s="5" t="n">
        <v>24.53</v>
      </c>
      <c r="BB2" s="1" t="s">
        <v>69</v>
      </c>
      <c r="BC2" s="6" t="n">
        <v>1</v>
      </c>
      <c r="BD2" s="1" t="s">
        <v>70</v>
      </c>
      <c r="BE2" s="6" t="n">
        <v>12</v>
      </c>
      <c r="BG2" s="6"/>
      <c r="BH2" s="5" t="n">
        <v>1365</v>
      </c>
      <c r="BI2" s="5" t="n">
        <v>881</v>
      </c>
      <c r="BJ2" s="7" t="s">
        <v>71</v>
      </c>
    </row>
    <row r="3" s="1" customFormat="true" ht="14.25" hidden="true" customHeight="false" outlineLevel="0" collapsed="false">
      <c r="A3" s="1" t="s">
        <v>72</v>
      </c>
      <c r="B3" s="1" t="s">
        <v>73</v>
      </c>
      <c r="C3" s="1" t="s">
        <v>59</v>
      </c>
      <c r="D3" s="1" t="s">
        <v>60</v>
      </c>
      <c r="E3" s="1" t="s">
        <v>74</v>
      </c>
      <c r="F3" s="1" t="s">
        <v>75</v>
      </c>
      <c r="G3" s="2" t="s">
        <v>76</v>
      </c>
      <c r="H3" s="1" t="s">
        <v>77</v>
      </c>
      <c r="I3" s="1" t="s">
        <v>78</v>
      </c>
      <c r="J3" s="1" t="s">
        <v>79</v>
      </c>
      <c r="K3" s="1" t="s">
        <v>80</v>
      </c>
      <c r="L3" s="1" t="s">
        <v>81</v>
      </c>
      <c r="M3" s="2" t="n">
        <v>4</v>
      </c>
      <c r="N3" s="1" t="s">
        <v>82</v>
      </c>
      <c r="O3" s="1" t="s">
        <v>82</v>
      </c>
      <c r="P3" s="1" t="s">
        <v>82</v>
      </c>
      <c r="Q3" s="1" t="s">
        <v>82</v>
      </c>
      <c r="U3" s="1" t="n">
        <v>2</v>
      </c>
      <c r="V3" s="1" t="n">
        <v>0</v>
      </c>
      <c r="W3" s="1" t="n">
        <v>0</v>
      </c>
      <c r="X3" s="1" t="n">
        <v>1</v>
      </c>
      <c r="Y3" s="1" t="n">
        <v>1</v>
      </c>
      <c r="Z3" s="3" t="n">
        <v>28</v>
      </c>
      <c r="AA3" s="1" t="n">
        <v>2</v>
      </c>
      <c r="AB3" s="1" t="n">
        <v>56</v>
      </c>
      <c r="AC3" s="1" t="n">
        <v>4</v>
      </c>
      <c r="AD3" s="1" t="n">
        <v>120</v>
      </c>
      <c r="AE3" s="1" t="n">
        <v>2</v>
      </c>
      <c r="AF3" s="1" t="n">
        <v>65</v>
      </c>
      <c r="AG3" s="1" t="n">
        <v>2</v>
      </c>
      <c r="AH3" s="1" t="n">
        <v>63</v>
      </c>
      <c r="AI3" s="1" t="n">
        <v>0</v>
      </c>
      <c r="AJ3" s="1" t="n">
        <v>0</v>
      </c>
      <c r="AK3" s="1" t="n">
        <v>11</v>
      </c>
      <c r="AL3" s="4" t="n">
        <v>332</v>
      </c>
      <c r="AM3" s="5" t="n">
        <v>912906</v>
      </c>
      <c r="AN3" s="5" t="n">
        <v>264028</v>
      </c>
      <c r="AO3" s="5" t="n">
        <v>0</v>
      </c>
      <c r="AP3" s="5" t="n">
        <v>13534.48</v>
      </c>
      <c r="AQ3" s="5" t="n">
        <v>14666</v>
      </c>
      <c r="AR3" s="5" t="n">
        <v>0</v>
      </c>
      <c r="AS3" s="6" t="n">
        <v>1</v>
      </c>
      <c r="AT3" s="1" t="s">
        <v>83</v>
      </c>
      <c r="AU3" s="6" t="n">
        <v>1</v>
      </c>
      <c r="AV3" s="1" t="s">
        <v>84</v>
      </c>
      <c r="AW3" s="6" t="n">
        <v>0</v>
      </c>
      <c r="AY3" s="5" t="n">
        <v>26</v>
      </c>
      <c r="AZ3" s="5" t="n">
        <v>24</v>
      </c>
      <c r="BA3" s="5" t="n">
        <v>50</v>
      </c>
      <c r="BB3" s="1" t="s">
        <v>85</v>
      </c>
      <c r="BC3" s="6" t="n">
        <v>24</v>
      </c>
      <c r="BD3" s="1" t="s">
        <v>86</v>
      </c>
      <c r="BE3" s="6" t="n">
        <v>22</v>
      </c>
      <c r="BF3" s="1" t="s">
        <v>87</v>
      </c>
      <c r="BG3" s="6" t="n">
        <v>18</v>
      </c>
      <c r="BH3" s="5" t="n">
        <v>1435.49</v>
      </c>
      <c r="BI3" s="5" t="n">
        <v>878.87</v>
      </c>
      <c r="BJ3" s="7" t="s">
        <v>71</v>
      </c>
    </row>
    <row r="4" s="1" customFormat="true" ht="14.25" hidden="true" customHeight="false" outlineLevel="0" collapsed="false">
      <c r="A4" s="1" t="s">
        <v>88</v>
      </c>
      <c r="B4" s="1" t="s">
        <v>89</v>
      </c>
      <c r="C4" s="1" t="s">
        <v>59</v>
      </c>
      <c r="D4" s="1" t="s">
        <v>90</v>
      </c>
      <c r="E4" s="1" t="s">
        <v>91</v>
      </c>
      <c r="F4" s="1" t="s">
        <v>92</v>
      </c>
      <c r="G4" s="2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2" t="n">
        <v>2</v>
      </c>
      <c r="N4" s="1" t="s">
        <v>99</v>
      </c>
      <c r="U4" s="1" t="n">
        <v>1</v>
      </c>
      <c r="V4" s="1" t="n">
        <v>0</v>
      </c>
      <c r="W4" s="1" t="n">
        <v>2</v>
      </c>
      <c r="X4" s="1" t="n">
        <v>1</v>
      </c>
      <c r="Y4" s="1" t="n">
        <v>0</v>
      </c>
      <c r="Z4" s="3" t="n">
        <v>0</v>
      </c>
      <c r="AA4" s="1" t="n">
        <v>2</v>
      </c>
      <c r="AB4" s="1" t="n">
        <v>50</v>
      </c>
      <c r="AC4" s="1" t="n">
        <v>2</v>
      </c>
      <c r="AD4" s="1" t="n">
        <v>52</v>
      </c>
      <c r="AE4" s="1" t="n">
        <v>1</v>
      </c>
      <c r="AF4" s="1" t="n">
        <v>28</v>
      </c>
      <c r="AG4" s="1" t="n">
        <v>1</v>
      </c>
      <c r="AH4" s="1" t="n">
        <v>29</v>
      </c>
      <c r="AI4" s="1" t="n">
        <v>0</v>
      </c>
      <c r="AJ4" s="1" t="n">
        <v>0</v>
      </c>
      <c r="AK4" s="1" t="n">
        <v>6</v>
      </c>
      <c r="AL4" s="4" t="n">
        <v>159</v>
      </c>
      <c r="AM4" s="5" t="n">
        <v>467017</v>
      </c>
      <c r="AN4" s="5" t="n">
        <v>130502</v>
      </c>
      <c r="AO4" s="5" t="n">
        <v>0</v>
      </c>
      <c r="AP4" s="5" t="n">
        <v>0</v>
      </c>
      <c r="AQ4" s="5" t="n">
        <v>4921</v>
      </c>
      <c r="AR4" s="5" t="n">
        <v>0</v>
      </c>
      <c r="AS4" s="6" t="n">
        <v>0</v>
      </c>
      <c r="AU4" s="6" t="n">
        <v>0</v>
      </c>
      <c r="AW4" s="6" t="n">
        <v>0</v>
      </c>
      <c r="AY4" s="5" t="n">
        <v>14</v>
      </c>
      <c r="AZ4" s="5" t="n">
        <v>13.625</v>
      </c>
      <c r="BA4" s="5" t="n">
        <v>27.625</v>
      </c>
      <c r="BB4" s="1" t="s">
        <v>100</v>
      </c>
      <c r="BC4" s="6" t="n">
        <v>12</v>
      </c>
      <c r="BE4" s="6"/>
      <c r="BG4" s="6"/>
      <c r="BH4" s="5" t="n">
        <v>1363</v>
      </c>
      <c r="BI4" s="5" t="n">
        <v>882</v>
      </c>
      <c r="BJ4" s="7" t="s">
        <v>101</v>
      </c>
    </row>
    <row r="5" s="1" customFormat="true" ht="14.25" hidden="true" customHeight="false" outlineLevel="0" collapsed="false">
      <c r="A5" s="1" t="s">
        <v>102</v>
      </c>
      <c r="B5" s="1" t="s">
        <v>103</v>
      </c>
      <c r="C5" s="1" t="s">
        <v>59</v>
      </c>
      <c r="D5" s="1" t="s">
        <v>104</v>
      </c>
      <c r="E5" s="1" t="s">
        <v>105</v>
      </c>
      <c r="F5" s="1" t="s">
        <v>106</v>
      </c>
      <c r="G5" s="2" t="s">
        <v>107</v>
      </c>
      <c r="H5" s="1" t="s">
        <v>108</v>
      </c>
      <c r="I5" s="1" t="s">
        <v>109</v>
      </c>
      <c r="J5" s="1" t="s">
        <v>110</v>
      </c>
      <c r="K5" s="1" t="s">
        <v>111</v>
      </c>
      <c r="L5" s="1" t="s">
        <v>112</v>
      </c>
      <c r="M5" s="2" t="n">
        <v>1</v>
      </c>
      <c r="N5" s="1" t="s">
        <v>113</v>
      </c>
      <c r="U5" s="1" t="n">
        <v>1</v>
      </c>
      <c r="V5" s="1" t="n">
        <v>0</v>
      </c>
      <c r="W5" s="1" t="n">
        <v>0</v>
      </c>
      <c r="X5" s="1" t="n">
        <v>0</v>
      </c>
      <c r="Y5" s="1" t="n">
        <v>0</v>
      </c>
      <c r="Z5" s="3" t="n">
        <v>0</v>
      </c>
      <c r="AA5" s="1" t="n">
        <v>1</v>
      </c>
      <c r="AB5" s="1" t="n">
        <v>24</v>
      </c>
      <c r="AC5" s="1" t="n">
        <v>1</v>
      </c>
      <c r="AD5" s="1" t="n">
        <v>25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1</v>
      </c>
      <c r="AJ5" s="1" t="n">
        <v>31</v>
      </c>
      <c r="AK5" s="1" t="n">
        <v>3</v>
      </c>
      <c r="AL5" s="4" t="n">
        <v>80</v>
      </c>
      <c r="AM5" s="5" t="n">
        <v>244720</v>
      </c>
      <c r="AN5" s="5" t="n">
        <v>83802</v>
      </c>
      <c r="AO5" s="5" t="n">
        <v>0</v>
      </c>
      <c r="AP5" s="5" t="n">
        <v>0</v>
      </c>
      <c r="AQ5" s="5" t="n">
        <v>940</v>
      </c>
      <c r="AR5" s="5" t="n">
        <v>260</v>
      </c>
      <c r="AS5" s="6" t="n">
        <v>0</v>
      </c>
      <c r="AU5" s="6" t="n">
        <v>1</v>
      </c>
      <c r="AW5" s="6" t="n">
        <v>0</v>
      </c>
      <c r="AY5" s="5" t="n">
        <v>7</v>
      </c>
      <c r="AZ5" s="5" t="n">
        <v>6.5</v>
      </c>
      <c r="BA5" s="5" t="n">
        <v>13.5</v>
      </c>
      <c r="BB5" s="1" t="s">
        <v>114</v>
      </c>
      <c r="BC5" s="6" t="n">
        <v>7</v>
      </c>
      <c r="BD5" s="1" t="s">
        <v>115</v>
      </c>
      <c r="BE5" s="6" t="n">
        <v>7</v>
      </c>
      <c r="BG5" s="6"/>
      <c r="BH5" s="5" t="n">
        <v>1109</v>
      </c>
      <c r="BI5" s="5" t="n">
        <v>814.47</v>
      </c>
      <c r="BJ5" s="7" t="s">
        <v>101</v>
      </c>
    </row>
    <row r="6" s="1" customFormat="true" ht="14.25" hidden="true" customHeight="false" outlineLevel="0" collapsed="false">
      <c r="A6" s="1" t="s">
        <v>116</v>
      </c>
      <c r="B6" s="1" t="s">
        <v>117</v>
      </c>
      <c r="C6" s="1" t="s">
        <v>59</v>
      </c>
      <c r="D6" s="1" t="s">
        <v>60</v>
      </c>
      <c r="E6" s="1" t="s">
        <v>118</v>
      </c>
      <c r="F6" s="1" t="s">
        <v>119</v>
      </c>
      <c r="G6" s="2" t="s">
        <v>120</v>
      </c>
      <c r="H6" s="1" t="s">
        <v>121</v>
      </c>
      <c r="I6" s="1" t="s">
        <v>122</v>
      </c>
      <c r="J6" s="1" t="s">
        <v>123</v>
      </c>
      <c r="K6" s="1" t="s">
        <v>124</v>
      </c>
      <c r="L6" s="1" t="s">
        <v>125</v>
      </c>
      <c r="M6" s="2" t="n">
        <v>7</v>
      </c>
      <c r="N6" s="1" t="s">
        <v>126</v>
      </c>
      <c r="O6" s="1" t="s">
        <v>127</v>
      </c>
      <c r="P6" s="1" t="s">
        <v>128</v>
      </c>
      <c r="Q6" s="1" t="s">
        <v>129</v>
      </c>
      <c r="R6" s="1" t="s">
        <v>130</v>
      </c>
      <c r="S6" s="1" t="s">
        <v>131</v>
      </c>
      <c r="T6" s="1" t="s">
        <v>132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3" t="n">
        <v>0</v>
      </c>
      <c r="AA6" s="1" t="n">
        <v>2</v>
      </c>
      <c r="AB6" s="1" t="n">
        <v>52</v>
      </c>
      <c r="AC6" s="1" t="n">
        <v>1</v>
      </c>
      <c r="AD6" s="1" t="n">
        <v>24</v>
      </c>
      <c r="AE6" s="1" t="n">
        <v>3</v>
      </c>
      <c r="AF6" s="1" t="n">
        <v>67</v>
      </c>
      <c r="AG6" s="1" t="n">
        <v>3</v>
      </c>
      <c r="AH6" s="1" t="n">
        <v>68</v>
      </c>
      <c r="AI6" s="1" t="n">
        <v>0</v>
      </c>
      <c r="AJ6" s="1" t="n">
        <v>0</v>
      </c>
      <c r="AK6" s="1" t="n">
        <v>9</v>
      </c>
      <c r="AL6" s="4" t="n">
        <v>211</v>
      </c>
      <c r="AM6" s="5" t="n">
        <v>620160</v>
      </c>
      <c r="AN6" s="5" t="n">
        <v>146240</v>
      </c>
      <c r="AO6" s="5" t="n">
        <v>0</v>
      </c>
      <c r="AP6" s="5" t="n">
        <v>0</v>
      </c>
      <c r="AQ6" s="5" t="n">
        <v>0</v>
      </c>
      <c r="AR6" s="5" t="n">
        <v>0</v>
      </c>
      <c r="AS6" s="6" t="n">
        <v>0</v>
      </c>
      <c r="AU6" s="6" t="n">
        <v>0</v>
      </c>
      <c r="AW6" s="6" t="n">
        <v>0</v>
      </c>
      <c r="AY6" s="5" t="n">
        <v>19</v>
      </c>
      <c r="AZ6" s="5" t="n">
        <v>15.5</v>
      </c>
      <c r="BA6" s="5" t="n">
        <v>34.5</v>
      </c>
      <c r="BB6" s="1" t="s">
        <v>133</v>
      </c>
      <c r="BC6" s="6" t="n">
        <v>8</v>
      </c>
      <c r="BD6" s="1" t="s">
        <v>134</v>
      </c>
      <c r="BE6" s="6" t="n">
        <v>1</v>
      </c>
      <c r="BG6" s="6"/>
      <c r="BH6" s="5" t="n">
        <v>1222.61</v>
      </c>
      <c r="BI6" s="5" t="n">
        <v>761.15</v>
      </c>
      <c r="BJ6" s="7" t="s">
        <v>71</v>
      </c>
    </row>
    <row r="7" s="1" customFormat="true" ht="14.25" hidden="true" customHeight="false" outlineLevel="0" collapsed="false">
      <c r="A7" s="1" t="s">
        <v>135</v>
      </c>
      <c r="B7" s="1" t="s">
        <v>136</v>
      </c>
      <c r="C7" s="1" t="s">
        <v>59</v>
      </c>
      <c r="D7" s="1" t="s">
        <v>60</v>
      </c>
      <c r="E7" s="1" t="s">
        <v>137</v>
      </c>
      <c r="F7" s="1" t="s">
        <v>138</v>
      </c>
      <c r="G7" s="2" t="s">
        <v>139</v>
      </c>
      <c r="H7" s="1" t="s">
        <v>140</v>
      </c>
      <c r="I7" s="1" t="s">
        <v>141</v>
      </c>
      <c r="J7" s="1" t="s">
        <v>142</v>
      </c>
      <c r="K7" s="1" t="s">
        <v>143</v>
      </c>
      <c r="L7" s="1" t="s">
        <v>144</v>
      </c>
      <c r="M7" s="2" t="n">
        <v>2</v>
      </c>
      <c r="N7" s="1" t="s">
        <v>138</v>
      </c>
      <c r="O7" s="1" t="s">
        <v>145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2</v>
      </c>
      <c r="Z7" s="3" t="n">
        <v>48</v>
      </c>
      <c r="AA7" s="1" t="n">
        <v>2</v>
      </c>
      <c r="AB7" s="1" t="n">
        <v>51</v>
      </c>
      <c r="AC7" s="1" t="n">
        <v>1</v>
      </c>
      <c r="AD7" s="1" t="n">
        <v>37</v>
      </c>
      <c r="AE7" s="1" t="n">
        <v>2</v>
      </c>
      <c r="AF7" s="1" t="n">
        <v>51</v>
      </c>
      <c r="AG7" s="1" t="n">
        <v>2</v>
      </c>
      <c r="AH7" s="1" t="n">
        <v>63</v>
      </c>
      <c r="AI7" s="1" t="n">
        <v>0</v>
      </c>
      <c r="AJ7" s="1" t="n">
        <v>0</v>
      </c>
      <c r="AK7" s="1" t="n">
        <v>9</v>
      </c>
      <c r="AL7" s="4" t="n">
        <v>250</v>
      </c>
      <c r="AM7" s="5" t="n">
        <v>608241</v>
      </c>
      <c r="AN7" s="5" t="n">
        <v>195647</v>
      </c>
      <c r="AO7" s="5" t="n">
        <v>0</v>
      </c>
      <c r="AP7" s="5" t="n">
        <v>0</v>
      </c>
      <c r="AQ7" s="5" t="n">
        <v>7223</v>
      </c>
      <c r="AR7" s="5" t="n">
        <v>0</v>
      </c>
      <c r="AS7" s="6" t="n">
        <v>0</v>
      </c>
      <c r="AU7" s="6" t="n">
        <v>0</v>
      </c>
      <c r="AW7" s="6" t="n">
        <v>0</v>
      </c>
      <c r="AY7" s="5" t="n">
        <v>16.5</v>
      </c>
      <c r="AZ7" s="5" t="n">
        <v>19.5</v>
      </c>
      <c r="BA7" s="5" t="n">
        <v>36</v>
      </c>
      <c r="BB7" s="1" t="s">
        <v>146</v>
      </c>
      <c r="BC7" s="6" t="n">
        <v>16</v>
      </c>
      <c r="BD7" s="1" t="s">
        <v>114</v>
      </c>
      <c r="BE7" s="6" t="n">
        <v>16</v>
      </c>
      <c r="BG7" s="6"/>
      <c r="BH7" s="5" t="n">
        <v>1353.58</v>
      </c>
      <c r="BI7" s="5" t="n">
        <v>842.53</v>
      </c>
      <c r="BJ7" s="7" t="s">
        <v>147</v>
      </c>
    </row>
    <row r="8" s="1" customFormat="true" ht="14.25" hidden="true" customHeight="false" outlineLevel="0" collapsed="false">
      <c r="A8" s="1" t="s">
        <v>148</v>
      </c>
      <c r="B8" s="1" t="s">
        <v>149</v>
      </c>
      <c r="C8" s="1" t="s">
        <v>59</v>
      </c>
      <c r="D8" s="1" t="s">
        <v>150</v>
      </c>
      <c r="E8" s="1" t="s">
        <v>74</v>
      </c>
      <c r="F8" s="1" t="s">
        <v>151</v>
      </c>
      <c r="G8" s="2" t="s">
        <v>152</v>
      </c>
      <c r="H8" s="1" t="s">
        <v>153</v>
      </c>
      <c r="I8" s="1" t="s">
        <v>154</v>
      </c>
      <c r="J8" s="1" t="s">
        <v>155</v>
      </c>
      <c r="K8" s="1" t="s">
        <v>156</v>
      </c>
      <c r="L8" s="1" t="s">
        <v>157</v>
      </c>
      <c r="M8" s="2"/>
      <c r="U8" s="1" t="n">
        <v>0</v>
      </c>
      <c r="V8" s="1" t="n">
        <v>0</v>
      </c>
      <c r="W8" s="1" t="n">
        <v>0</v>
      </c>
      <c r="X8" s="1" t="n">
        <v>0</v>
      </c>
      <c r="Y8" s="1" t="n">
        <v>1</v>
      </c>
      <c r="Z8" s="3" t="n">
        <v>25</v>
      </c>
      <c r="AA8" s="1" t="n">
        <v>4</v>
      </c>
      <c r="AB8" s="1" t="n">
        <v>107</v>
      </c>
      <c r="AC8" s="1" t="n">
        <v>3</v>
      </c>
      <c r="AD8" s="1" t="n">
        <v>87</v>
      </c>
      <c r="AE8" s="1" t="n">
        <v>3</v>
      </c>
      <c r="AF8" s="1" t="n">
        <v>89</v>
      </c>
      <c r="AG8" s="1" t="n">
        <v>3</v>
      </c>
      <c r="AH8" s="1" t="n">
        <v>82</v>
      </c>
      <c r="AI8" s="1" t="n">
        <v>0</v>
      </c>
      <c r="AJ8" s="1" t="n">
        <v>0</v>
      </c>
      <c r="AK8" s="1" t="n">
        <v>14</v>
      </c>
      <c r="AL8" s="4" t="n">
        <v>390</v>
      </c>
      <c r="AM8" s="5" t="n">
        <v>880769</v>
      </c>
      <c r="AN8" s="5" t="n">
        <v>188769</v>
      </c>
      <c r="AO8" s="5" t="n">
        <v>27132</v>
      </c>
      <c r="AP8" s="5" t="n">
        <v>0</v>
      </c>
      <c r="AQ8" s="5" t="n">
        <v>12325</v>
      </c>
      <c r="AR8" s="5" t="n">
        <v>0</v>
      </c>
      <c r="AS8" s="6" t="n">
        <v>0</v>
      </c>
      <c r="AU8" s="6" t="n">
        <v>2</v>
      </c>
      <c r="AV8" s="1" t="s">
        <v>158</v>
      </c>
      <c r="AW8" s="6" t="n">
        <v>0</v>
      </c>
      <c r="AY8" s="5" t="n">
        <v>31.75</v>
      </c>
      <c r="AZ8" s="5" t="n">
        <v>30.5</v>
      </c>
      <c r="BA8" s="5" t="n">
        <v>62.25</v>
      </c>
      <c r="BB8" s="1" t="s">
        <v>159</v>
      </c>
      <c r="BC8" s="6" t="n">
        <v>1</v>
      </c>
      <c r="BE8" s="6"/>
      <c r="BG8" s="6"/>
      <c r="BH8" s="5" t="n">
        <v>1340.13</v>
      </c>
      <c r="BI8" s="5" t="n">
        <v>797.62</v>
      </c>
      <c r="BJ8" s="7" t="s">
        <v>101</v>
      </c>
    </row>
    <row r="9" s="1" customFormat="true" ht="14.25" hidden="true" customHeight="false" outlineLevel="0" collapsed="false">
      <c r="A9" s="1" t="s">
        <v>160</v>
      </c>
      <c r="B9" s="1" t="s">
        <v>161</v>
      </c>
      <c r="C9" s="1" t="s">
        <v>59</v>
      </c>
      <c r="D9" s="1" t="s">
        <v>60</v>
      </c>
      <c r="E9" s="1" t="s">
        <v>162</v>
      </c>
      <c r="F9" s="1" t="s">
        <v>163</v>
      </c>
      <c r="G9" s="2" t="s">
        <v>164</v>
      </c>
      <c r="H9" s="1" t="s">
        <v>165</v>
      </c>
      <c r="I9" s="1" t="s">
        <v>166</v>
      </c>
      <c r="J9" s="1" t="s">
        <v>167</v>
      </c>
      <c r="K9" s="1" t="s">
        <v>168</v>
      </c>
      <c r="L9" s="1" t="s">
        <v>169</v>
      </c>
      <c r="M9" s="2" t="n">
        <v>4</v>
      </c>
      <c r="U9" s="1" t="n">
        <v>4</v>
      </c>
      <c r="V9" s="1" t="n">
        <v>0</v>
      </c>
      <c r="W9" s="1" t="n">
        <v>0</v>
      </c>
      <c r="X9" s="1" t="n">
        <v>0</v>
      </c>
      <c r="Y9" s="1" t="n">
        <v>3</v>
      </c>
      <c r="Z9" s="3" t="n">
        <v>80</v>
      </c>
      <c r="AA9" s="1" t="n">
        <v>3</v>
      </c>
      <c r="AB9" s="1" t="n">
        <v>78</v>
      </c>
      <c r="AC9" s="1" t="n">
        <v>3</v>
      </c>
      <c r="AD9" s="1" t="n">
        <v>84</v>
      </c>
      <c r="AE9" s="1" t="n">
        <v>3</v>
      </c>
      <c r="AF9" s="1" t="n">
        <v>90</v>
      </c>
      <c r="AG9" s="1" t="n">
        <v>2</v>
      </c>
      <c r="AH9" s="1" t="n">
        <v>66</v>
      </c>
      <c r="AI9" s="1" t="n">
        <v>0</v>
      </c>
      <c r="AJ9" s="1" t="n">
        <v>0</v>
      </c>
      <c r="AK9" s="1" t="n">
        <v>14</v>
      </c>
      <c r="AL9" s="4" t="n">
        <v>398</v>
      </c>
      <c r="AM9" s="5" t="n">
        <v>902087</v>
      </c>
      <c r="AN9" s="5" t="n">
        <v>206040</v>
      </c>
      <c r="AO9" s="5" t="n">
        <v>0</v>
      </c>
      <c r="AP9" s="5" t="n">
        <v>450</v>
      </c>
      <c r="AQ9" s="5" t="n">
        <v>13718</v>
      </c>
      <c r="AR9" s="5" t="n">
        <v>0</v>
      </c>
      <c r="AS9" s="6" t="n">
        <v>0</v>
      </c>
      <c r="AU9" s="6" t="n">
        <v>0</v>
      </c>
      <c r="AW9" s="6" t="n">
        <v>0</v>
      </c>
      <c r="AY9" s="5" t="n">
        <v>26.5</v>
      </c>
      <c r="AZ9" s="5" t="n">
        <v>29.5</v>
      </c>
      <c r="BA9" s="5" t="n">
        <v>56</v>
      </c>
      <c r="BB9" s="1" t="s">
        <v>170</v>
      </c>
      <c r="BC9" s="6" t="n">
        <v>27</v>
      </c>
      <c r="BD9" s="1" t="s">
        <v>171</v>
      </c>
      <c r="BE9" s="6" t="n">
        <v>2</v>
      </c>
      <c r="BF9" s="1" t="s">
        <v>172</v>
      </c>
      <c r="BG9" s="6" t="n">
        <v>1</v>
      </c>
      <c r="BH9" s="5" t="n">
        <v>1454.38</v>
      </c>
      <c r="BI9" s="5" t="n">
        <v>786.92</v>
      </c>
      <c r="BJ9" s="7" t="s">
        <v>173</v>
      </c>
    </row>
    <row r="10" s="1" customFormat="true" ht="14.25" hidden="true" customHeight="false" outlineLevel="0" collapsed="false">
      <c r="A10" s="1" t="s">
        <v>174</v>
      </c>
      <c r="B10" s="1" t="s">
        <v>175</v>
      </c>
      <c r="C10" s="1" t="s">
        <v>59</v>
      </c>
      <c r="D10" s="1" t="s">
        <v>60</v>
      </c>
      <c r="E10" s="1" t="s">
        <v>176</v>
      </c>
      <c r="F10" s="1" t="s">
        <v>177</v>
      </c>
      <c r="G10" s="2" t="s">
        <v>178</v>
      </c>
      <c r="H10" s="1" t="s">
        <v>179</v>
      </c>
      <c r="I10" s="1" t="s">
        <v>180</v>
      </c>
      <c r="J10" s="1" t="s">
        <v>181</v>
      </c>
      <c r="K10" s="1" t="s">
        <v>182</v>
      </c>
      <c r="L10" s="1" t="s">
        <v>183</v>
      </c>
      <c r="M10" s="2" t="n">
        <v>1</v>
      </c>
      <c r="N10" s="1" t="s">
        <v>184</v>
      </c>
      <c r="U10" s="1" t="n">
        <v>3</v>
      </c>
      <c r="V10" s="1" t="n">
        <v>0</v>
      </c>
      <c r="W10" s="1" t="n">
        <v>0</v>
      </c>
      <c r="X10" s="1" t="n">
        <v>0</v>
      </c>
      <c r="Y10" s="1" t="n">
        <v>0</v>
      </c>
      <c r="Z10" s="3" t="n">
        <v>0</v>
      </c>
      <c r="AA10" s="1" t="n">
        <v>1</v>
      </c>
      <c r="AB10" s="1" t="n">
        <v>25</v>
      </c>
      <c r="AC10" s="1" t="n">
        <v>1</v>
      </c>
      <c r="AD10" s="1" t="n">
        <v>30</v>
      </c>
      <c r="AE10" s="1" t="n">
        <v>1</v>
      </c>
      <c r="AF10" s="1" t="n">
        <v>32</v>
      </c>
      <c r="AG10" s="1" t="n">
        <v>1</v>
      </c>
      <c r="AH10" s="1" t="n">
        <v>29</v>
      </c>
      <c r="AI10" s="1" t="n">
        <v>0</v>
      </c>
      <c r="AJ10" s="1" t="n">
        <v>0</v>
      </c>
      <c r="AK10" s="1" t="n">
        <v>4</v>
      </c>
      <c r="AL10" s="4" t="n">
        <v>116</v>
      </c>
      <c r="AM10" s="5" t="n">
        <v>331994</v>
      </c>
      <c r="AN10" s="5" t="n">
        <v>89726</v>
      </c>
      <c r="AO10" s="5" t="n">
        <v>0</v>
      </c>
      <c r="AP10" s="5" t="n">
        <v>1150</v>
      </c>
      <c r="AQ10" s="5" t="n">
        <v>5381.93</v>
      </c>
      <c r="AR10" s="5" t="n">
        <v>0</v>
      </c>
      <c r="AS10" s="6" t="n">
        <v>0</v>
      </c>
      <c r="AU10" s="6" t="n">
        <v>0</v>
      </c>
      <c r="AW10" s="6" t="n">
        <v>0</v>
      </c>
      <c r="AY10" s="5" t="n">
        <v>9.5</v>
      </c>
      <c r="AZ10" s="5" t="n">
        <v>8.5</v>
      </c>
      <c r="BA10" s="5" t="n">
        <v>18</v>
      </c>
      <c r="BB10" s="1" t="s">
        <v>185</v>
      </c>
      <c r="BC10" s="6" t="n">
        <v>2</v>
      </c>
      <c r="BE10" s="6"/>
      <c r="BG10" s="6"/>
      <c r="BH10" s="5" t="n">
        <v>1382.45</v>
      </c>
      <c r="BI10" s="5" t="n">
        <v>799.72</v>
      </c>
      <c r="BJ10" s="7" t="s">
        <v>186</v>
      </c>
    </row>
    <row r="11" s="1" customFormat="true" ht="14.25" hidden="false" customHeight="false" outlineLevel="0" collapsed="false">
      <c r="A11" s="1" t="s">
        <v>187</v>
      </c>
      <c r="B11" s="1" t="s">
        <v>188</v>
      </c>
      <c r="C11" s="1" t="s">
        <v>59</v>
      </c>
      <c r="D11" s="1" t="s">
        <v>60</v>
      </c>
      <c r="E11" s="1" t="s">
        <v>189</v>
      </c>
      <c r="F11" s="1" t="s">
        <v>190</v>
      </c>
      <c r="G11" s="2" t="s">
        <v>191</v>
      </c>
      <c r="H11" s="1" t="s">
        <v>192</v>
      </c>
      <c r="I11" s="1" t="s">
        <v>193</v>
      </c>
      <c r="J11" s="1" t="s">
        <v>194</v>
      </c>
      <c r="K11" s="1" t="s">
        <v>195</v>
      </c>
      <c r="L11" s="1" t="s">
        <v>196</v>
      </c>
      <c r="M11" s="2" t="n">
        <v>1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2</v>
      </c>
      <c r="Z11" s="3" t="n">
        <v>48</v>
      </c>
      <c r="AA11" s="1" t="n">
        <v>2</v>
      </c>
      <c r="AB11" s="1" t="n">
        <v>49</v>
      </c>
      <c r="AC11" s="1" t="n">
        <v>2</v>
      </c>
      <c r="AD11" s="1" t="n">
        <v>57</v>
      </c>
      <c r="AE11" s="1" t="n">
        <v>2</v>
      </c>
      <c r="AF11" s="1" t="n">
        <v>61</v>
      </c>
      <c r="AG11" s="1" t="n">
        <v>2</v>
      </c>
      <c r="AH11" s="1" t="n">
        <v>48</v>
      </c>
      <c r="AI11" s="1" t="n">
        <v>0</v>
      </c>
      <c r="AJ11" s="1" t="n">
        <v>0</v>
      </c>
      <c r="AK11" s="1" t="n">
        <v>10</v>
      </c>
      <c r="AL11" s="4" t="n">
        <v>263</v>
      </c>
      <c r="AM11" s="5" t="n">
        <v>703127</v>
      </c>
      <c r="AN11" s="5" t="n">
        <v>205841</v>
      </c>
      <c r="AO11" s="5" t="n">
        <v>0</v>
      </c>
      <c r="AP11" s="5" t="n">
        <v>4529</v>
      </c>
      <c r="AQ11" s="5" t="n">
        <v>13053</v>
      </c>
      <c r="AR11" s="5" t="n">
        <v>0</v>
      </c>
      <c r="AS11" s="6" t="n">
        <v>0</v>
      </c>
      <c r="AU11" s="6" t="n">
        <v>0</v>
      </c>
      <c r="AW11" s="6" t="n">
        <v>1</v>
      </c>
      <c r="AX11" s="1" t="s">
        <v>197</v>
      </c>
      <c r="AY11" s="5" t="n">
        <v>20</v>
      </c>
      <c r="AZ11" s="5" t="n">
        <v>19</v>
      </c>
      <c r="BA11" s="5" t="n">
        <v>39</v>
      </c>
      <c r="BB11" s="1" t="s">
        <v>198</v>
      </c>
      <c r="BC11" s="6" t="n">
        <v>10</v>
      </c>
      <c r="BD11" s="1" t="s">
        <v>199</v>
      </c>
      <c r="BE11" s="6" t="n">
        <v>10</v>
      </c>
      <c r="BF11" s="1" t="s">
        <v>200</v>
      </c>
      <c r="BG11" s="6" t="n">
        <v>5</v>
      </c>
      <c r="BH11" s="5" t="n">
        <v>1368.3</v>
      </c>
      <c r="BI11" s="5" t="n">
        <v>910.09</v>
      </c>
      <c r="BJ11" s="7" t="s">
        <v>201</v>
      </c>
    </row>
    <row r="12" s="1" customFormat="true" ht="14.25" hidden="true" customHeight="false" outlineLevel="0" collapsed="false">
      <c r="A12" s="1" t="s">
        <v>202</v>
      </c>
      <c r="B12" s="1" t="s">
        <v>203</v>
      </c>
      <c r="C12" s="1" t="s">
        <v>59</v>
      </c>
      <c r="D12" s="1" t="s">
        <v>60</v>
      </c>
      <c r="E12" s="1" t="s">
        <v>204</v>
      </c>
      <c r="F12" s="1" t="s">
        <v>205</v>
      </c>
      <c r="G12" s="2" t="s">
        <v>206</v>
      </c>
      <c r="H12" s="1" t="s">
        <v>207</v>
      </c>
      <c r="I12" s="1" t="s">
        <v>208</v>
      </c>
      <c r="J12" s="1" t="s">
        <v>209</v>
      </c>
      <c r="K12" s="1" t="s">
        <v>210</v>
      </c>
      <c r="L12" s="1" t="s">
        <v>211</v>
      </c>
      <c r="M12" s="2" t="n">
        <v>1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1</v>
      </c>
      <c r="Z12" s="3" t="n">
        <v>22</v>
      </c>
      <c r="AA12" s="1" t="n">
        <v>3</v>
      </c>
      <c r="AB12" s="1" t="n">
        <v>86</v>
      </c>
      <c r="AC12" s="1" t="n">
        <v>1</v>
      </c>
      <c r="AD12" s="1" t="n">
        <v>33</v>
      </c>
      <c r="AE12" s="1" t="n">
        <v>2</v>
      </c>
      <c r="AF12" s="1" t="n">
        <v>69</v>
      </c>
      <c r="AG12" s="1" t="n">
        <v>1</v>
      </c>
      <c r="AH12" s="1" t="n">
        <v>26</v>
      </c>
      <c r="AI12" s="1" t="n">
        <v>0</v>
      </c>
      <c r="AJ12" s="1" t="n">
        <v>0</v>
      </c>
      <c r="AK12" s="1" t="n">
        <v>8</v>
      </c>
      <c r="AL12" s="4" t="n">
        <v>236</v>
      </c>
      <c r="AM12" s="5" t="n">
        <v>694756</v>
      </c>
      <c r="AN12" s="5" t="n">
        <v>188739</v>
      </c>
      <c r="AO12" s="5" t="n">
        <v>8172</v>
      </c>
      <c r="AP12" s="5" t="n">
        <v>2300</v>
      </c>
      <c r="AQ12" s="5" t="n">
        <v>21244</v>
      </c>
      <c r="AR12" s="5" t="n">
        <v>0</v>
      </c>
      <c r="AS12" s="6" t="n">
        <v>0</v>
      </c>
      <c r="AU12" s="6" t="n">
        <v>1</v>
      </c>
      <c r="AV12" s="1" t="s">
        <v>212</v>
      </c>
      <c r="AW12" s="6" t="n">
        <v>0</v>
      </c>
      <c r="AY12" s="5" t="n">
        <v>18</v>
      </c>
      <c r="AZ12" s="5" t="n">
        <v>19</v>
      </c>
      <c r="BA12" s="5" t="n">
        <v>37</v>
      </c>
      <c r="BB12" s="1" t="s">
        <v>213</v>
      </c>
      <c r="BC12" s="6" t="n">
        <v>23</v>
      </c>
      <c r="BD12" s="1" t="s">
        <v>214</v>
      </c>
      <c r="BE12" s="6" t="n">
        <v>1</v>
      </c>
      <c r="BF12" s="1" t="s">
        <v>215</v>
      </c>
      <c r="BG12" s="6" t="n">
        <v>1</v>
      </c>
      <c r="BH12" s="5" t="n">
        <v>1365.52</v>
      </c>
      <c r="BI12" s="5" t="n">
        <v>790.51</v>
      </c>
      <c r="BJ12" s="7" t="s">
        <v>186</v>
      </c>
    </row>
    <row r="13" s="1" customFormat="true" ht="14.25" hidden="false" customHeight="false" outlineLevel="0" collapsed="false">
      <c r="A13" s="1" t="s">
        <v>216</v>
      </c>
      <c r="B13" s="1" t="s">
        <v>217</v>
      </c>
      <c r="C13" s="1" t="s">
        <v>59</v>
      </c>
      <c r="D13" s="1" t="s">
        <v>60</v>
      </c>
      <c r="E13" s="1" t="s">
        <v>189</v>
      </c>
      <c r="F13" s="1" t="s">
        <v>218</v>
      </c>
      <c r="G13" s="2" t="s">
        <v>219</v>
      </c>
      <c r="H13" s="1" t="s">
        <v>220</v>
      </c>
      <c r="I13" s="1" t="s">
        <v>221</v>
      </c>
      <c r="J13" s="1" t="s">
        <v>222</v>
      </c>
      <c r="K13" s="1" t="s">
        <v>223</v>
      </c>
      <c r="L13" s="1" t="s">
        <v>224</v>
      </c>
      <c r="M13" s="2" t="n">
        <v>1</v>
      </c>
      <c r="N13" s="1" t="s">
        <v>225</v>
      </c>
      <c r="U13" s="1" t="n">
        <v>1</v>
      </c>
      <c r="V13" s="1" t="n">
        <v>0</v>
      </c>
      <c r="W13" s="1" t="n">
        <v>1</v>
      </c>
      <c r="X13" s="1" t="n">
        <v>0</v>
      </c>
      <c r="Y13" s="1" t="n">
        <v>3</v>
      </c>
      <c r="Z13" s="3" t="n">
        <v>69</v>
      </c>
      <c r="AA13" s="1" t="n">
        <v>4</v>
      </c>
      <c r="AB13" s="1" t="n">
        <v>95</v>
      </c>
      <c r="AC13" s="1" t="n">
        <v>2</v>
      </c>
      <c r="AD13" s="1" t="n">
        <v>60</v>
      </c>
      <c r="AE13" s="1" t="n">
        <v>2</v>
      </c>
      <c r="AF13" s="1" t="n">
        <v>70</v>
      </c>
      <c r="AG13" s="1" t="n">
        <v>2</v>
      </c>
      <c r="AH13" s="1" t="n">
        <v>50</v>
      </c>
      <c r="AI13" s="1" t="n">
        <v>0</v>
      </c>
      <c r="AJ13" s="1" t="n">
        <v>0</v>
      </c>
      <c r="AK13" s="1" t="n">
        <v>13</v>
      </c>
      <c r="AL13" s="4" t="n">
        <v>344</v>
      </c>
      <c r="AM13" s="5" t="n">
        <v>697364</v>
      </c>
      <c r="AN13" s="5" t="n">
        <v>203979</v>
      </c>
      <c r="AO13" s="5" t="n">
        <v>5069</v>
      </c>
      <c r="AP13" s="5" t="n">
        <v>2509</v>
      </c>
      <c r="AQ13" s="5" t="n">
        <v>17073</v>
      </c>
      <c r="AR13" s="5" t="n">
        <v>0</v>
      </c>
      <c r="AS13" s="6" t="n">
        <v>1</v>
      </c>
      <c r="AT13" s="1" t="s">
        <v>226</v>
      </c>
      <c r="AU13" s="6" t="n">
        <v>1</v>
      </c>
      <c r="AV13" s="1" t="s">
        <v>227</v>
      </c>
      <c r="AW13" s="6" t="n">
        <v>0</v>
      </c>
      <c r="AY13" s="5" t="n">
        <v>24.5</v>
      </c>
      <c r="AZ13" s="5" t="n">
        <v>26</v>
      </c>
      <c r="BA13" s="5" t="n">
        <v>50.5</v>
      </c>
      <c r="BB13" s="1" t="s">
        <v>228</v>
      </c>
      <c r="BC13" s="6" t="n">
        <v>16</v>
      </c>
      <c r="BD13" s="1" t="s">
        <v>229</v>
      </c>
      <c r="BE13" s="6" t="n">
        <v>26</v>
      </c>
      <c r="BF13" s="1" t="s">
        <v>230</v>
      </c>
      <c r="BG13" s="6" t="n">
        <v>26</v>
      </c>
      <c r="BH13" s="5" t="n">
        <v>1345</v>
      </c>
      <c r="BI13" s="5" t="n">
        <v>776</v>
      </c>
      <c r="BJ13" s="7" t="s">
        <v>231</v>
      </c>
    </row>
    <row r="14" s="1" customFormat="true" ht="14.25" hidden="true" customHeight="false" outlineLevel="0" collapsed="false">
      <c r="A14" s="1" t="s">
        <v>232</v>
      </c>
      <c r="B14" s="1" t="s">
        <v>233</v>
      </c>
      <c r="C14" s="1" t="s">
        <v>59</v>
      </c>
      <c r="D14" s="1" t="s">
        <v>234</v>
      </c>
      <c r="E14" s="1" t="s">
        <v>235</v>
      </c>
      <c r="F14" s="1" t="s">
        <v>236</v>
      </c>
      <c r="G14" s="2" t="s">
        <v>237</v>
      </c>
      <c r="H14" s="1" t="s">
        <v>238</v>
      </c>
      <c r="I14" s="1" t="s">
        <v>239</v>
      </c>
      <c r="J14" s="1" t="s">
        <v>240</v>
      </c>
      <c r="K14" s="1" t="s">
        <v>241</v>
      </c>
      <c r="L14" s="1" t="s">
        <v>242</v>
      </c>
      <c r="M14" s="2"/>
      <c r="U14" s="1" t="n">
        <v>1</v>
      </c>
      <c r="V14" s="1" t="n">
        <v>0</v>
      </c>
      <c r="W14" s="1" t="n">
        <v>0</v>
      </c>
      <c r="X14" s="1" t="n">
        <v>1</v>
      </c>
      <c r="Y14" s="1" t="n">
        <v>4</v>
      </c>
      <c r="Z14" s="3" t="n">
        <v>92</v>
      </c>
      <c r="AA14" s="1" t="n">
        <v>2</v>
      </c>
      <c r="AB14" s="1" t="n">
        <v>55</v>
      </c>
      <c r="AC14" s="1" t="n">
        <v>2</v>
      </c>
      <c r="AD14" s="1" t="n">
        <v>58</v>
      </c>
      <c r="AE14" s="1" t="n">
        <v>2</v>
      </c>
      <c r="AF14" s="1" t="n">
        <v>64</v>
      </c>
      <c r="AG14" s="1" t="n">
        <v>1</v>
      </c>
      <c r="AH14" s="1" t="n">
        <v>39</v>
      </c>
      <c r="AI14" s="1" t="n">
        <v>0</v>
      </c>
      <c r="AJ14" s="1" t="n">
        <v>0</v>
      </c>
      <c r="AK14" s="1" t="n">
        <v>11</v>
      </c>
      <c r="AL14" s="4" t="n">
        <v>308</v>
      </c>
      <c r="AM14" s="5" t="n">
        <v>711295</v>
      </c>
      <c r="AN14" s="5" t="n">
        <v>233686</v>
      </c>
      <c r="AO14" s="5" t="n">
        <v>0</v>
      </c>
      <c r="AP14" s="5" t="n">
        <v>0</v>
      </c>
      <c r="AQ14" s="5" t="n">
        <v>13558.3</v>
      </c>
      <c r="AR14" s="5" t="n">
        <v>0</v>
      </c>
      <c r="AS14" s="6" t="n">
        <v>0</v>
      </c>
      <c r="AU14" s="6" t="n">
        <v>0</v>
      </c>
      <c r="AW14" s="6" t="n">
        <v>0</v>
      </c>
      <c r="AY14" s="5" t="n">
        <v>17.5</v>
      </c>
      <c r="AZ14" s="5" t="n">
        <v>26.25</v>
      </c>
      <c r="BA14" s="5" t="n">
        <v>43.75</v>
      </c>
      <c r="BB14" s="1" t="s">
        <v>243</v>
      </c>
      <c r="BC14" s="6" t="n">
        <v>19</v>
      </c>
      <c r="BE14" s="6"/>
      <c r="BG14" s="6"/>
      <c r="BH14" s="5" t="n">
        <v>1303.65</v>
      </c>
      <c r="BI14" s="5" t="n">
        <v>821.81</v>
      </c>
      <c r="BJ14" s="19" t="s">
        <v>173</v>
      </c>
    </row>
    <row r="15" s="1" customFormat="true" ht="14.25" hidden="true" customHeight="false" outlineLevel="0" collapsed="false">
      <c r="A15" s="1" t="s">
        <v>244</v>
      </c>
      <c r="B15" s="1" t="s">
        <v>245</v>
      </c>
      <c r="C15" s="1" t="s">
        <v>59</v>
      </c>
      <c r="D15" s="1" t="s">
        <v>234</v>
      </c>
      <c r="E15" s="1" t="s">
        <v>204</v>
      </c>
      <c r="F15" s="1" t="s">
        <v>246</v>
      </c>
      <c r="G15" s="2" t="s">
        <v>247</v>
      </c>
      <c r="H15" s="1" t="s">
        <v>248</v>
      </c>
      <c r="I15" s="1" t="s">
        <v>249</v>
      </c>
      <c r="J15" s="1" t="s">
        <v>250</v>
      </c>
      <c r="K15" s="1" t="s">
        <v>251</v>
      </c>
      <c r="L15" s="1" t="s">
        <v>252</v>
      </c>
      <c r="M15" s="2" t="n">
        <v>1</v>
      </c>
      <c r="N15" s="1" t="s">
        <v>253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2</v>
      </c>
      <c r="Z15" s="3" t="n">
        <v>55</v>
      </c>
      <c r="AA15" s="1" t="n">
        <v>2</v>
      </c>
      <c r="AB15" s="1" t="n">
        <v>50</v>
      </c>
      <c r="AC15" s="1" t="n">
        <v>2</v>
      </c>
      <c r="AD15" s="1" t="n">
        <v>59</v>
      </c>
      <c r="AE15" s="1" t="n">
        <v>2</v>
      </c>
      <c r="AF15" s="1" t="n">
        <v>63</v>
      </c>
      <c r="AG15" s="1" t="n">
        <v>1</v>
      </c>
      <c r="AH15" s="1" t="n">
        <v>27</v>
      </c>
      <c r="AI15" s="1" t="n">
        <v>0</v>
      </c>
      <c r="AJ15" s="1" t="n">
        <v>0</v>
      </c>
      <c r="AK15" s="1" t="n">
        <v>9</v>
      </c>
      <c r="AL15" s="4" t="n">
        <v>254</v>
      </c>
      <c r="AM15" s="5" t="n">
        <v>631970</v>
      </c>
      <c r="AN15" s="5" t="n">
        <v>184249</v>
      </c>
      <c r="AO15" s="5" t="n">
        <v>0</v>
      </c>
      <c r="AP15" s="5" t="n">
        <v>600</v>
      </c>
      <c r="AQ15" s="5" t="n">
        <v>11364</v>
      </c>
      <c r="AR15" s="5" t="n">
        <v>0</v>
      </c>
      <c r="AS15" s="6" t="n">
        <v>0</v>
      </c>
      <c r="AU15" s="6" t="n">
        <v>2</v>
      </c>
      <c r="AV15" s="1" t="s">
        <v>254</v>
      </c>
      <c r="AW15" s="6" t="n">
        <v>0</v>
      </c>
      <c r="AY15" s="5" t="n">
        <v>18</v>
      </c>
      <c r="AZ15" s="5" t="n">
        <v>21</v>
      </c>
      <c r="BA15" s="5" t="n">
        <v>39</v>
      </c>
      <c r="BB15" s="1" t="s">
        <v>255</v>
      </c>
      <c r="BC15" s="6" t="n">
        <v>15</v>
      </c>
      <c r="BD15" s="1" t="s">
        <v>256</v>
      </c>
      <c r="BE15" s="6" t="n">
        <v>1</v>
      </c>
      <c r="BF15" s="1" t="s">
        <v>257</v>
      </c>
      <c r="BG15" s="6" t="n">
        <v>1</v>
      </c>
      <c r="BH15" s="5" t="n">
        <v>1193.25</v>
      </c>
      <c r="BI15" s="5" t="n">
        <v>849.57</v>
      </c>
      <c r="BJ15" s="7" t="s">
        <v>173</v>
      </c>
    </row>
    <row r="16" s="1" customFormat="true" ht="14.25" hidden="true" customHeight="false" outlineLevel="0" collapsed="false">
      <c r="A16" s="1" t="s">
        <v>258</v>
      </c>
      <c r="B16" s="1" t="s">
        <v>259</v>
      </c>
      <c r="C16" s="1" t="s">
        <v>59</v>
      </c>
      <c r="D16" s="1" t="s">
        <v>60</v>
      </c>
      <c r="E16" s="1" t="s">
        <v>137</v>
      </c>
      <c r="F16" s="1" t="s">
        <v>260</v>
      </c>
      <c r="G16" s="2" t="s">
        <v>261</v>
      </c>
      <c r="H16" s="1" t="s">
        <v>262</v>
      </c>
      <c r="I16" s="1" t="s">
        <v>263</v>
      </c>
      <c r="K16" s="1" t="s">
        <v>264</v>
      </c>
      <c r="L16" s="1" t="s">
        <v>265</v>
      </c>
      <c r="M16" s="2" t="n">
        <v>1</v>
      </c>
      <c r="U16" s="1" t="n">
        <v>1</v>
      </c>
      <c r="V16" s="1" t="n">
        <v>1</v>
      </c>
      <c r="W16" s="1" t="n">
        <v>1</v>
      </c>
      <c r="X16" s="1" t="n">
        <v>2</v>
      </c>
      <c r="Y16" s="1" t="n">
        <v>2</v>
      </c>
      <c r="Z16" s="3" t="n">
        <v>46</v>
      </c>
      <c r="AA16" s="1" t="n">
        <v>1</v>
      </c>
      <c r="AB16" s="1" t="n">
        <v>27</v>
      </c>
      <c r="AC16" s="1" t="n">
        <v>2</v>
      </c>
      <c r="AD16" s="1" t="n">
        <v>51</v>
      </c>
      <c r="AE16" s="1" t="n">
        <v>2</v>
      </c>
      <c r="AF16" s="1" t="n">
        <v>58</v>
      </c>
      <c r="AG16" s="1" t="n">
        <v>2</v>
      </c>
      <c r="AH16" s="1" t="n">
        <v>55</v>
      </c>
      <c r="AI16" s="1" t="n">
        <v>0</v>
      </c>
      <c r="AJ16" s="1" t="n">
        <v>0</v>
      </c>
      <c r="AK16" s="1" t="n">
        <v>9</v>
      </c>
      <c r="AL16" s="4" t="n">
        <v>237</v>
      </c>
      <c r="AM16" s="5" t="n">
        <v>567491</v>
      </c>
      <c r="AN16" s="5" t="n">
        <v>193296</v>
      </c>
      <c r="AO16" s="5" t="n">
        <v>0</v>
      </c>
      <c r="AP16" s="5" t="n">
        <v>14049.21</v>
      </c>
      <c r="AQ16" s="5" t="n">
        <v>0</v>
      </c>
      <c r="AR16" s="5" t="n">
        <v>0</v>
      </c>
      <c r="AS16" s="6" t="n">
        <v>0</v>
      </c>
      <c r="AU16" s="6" t="n">
        <v>0</v>
      </c>
      <c r="AW16" s="6" t="n">
        <v>0</v>
      </c>
      <c r="AY16" s="5" t="n">
        <v>16.5</v>
      </c>
      <c r="AZ16" s="5" t="n">
        <v>19</v>
      </c>
      <c r="BA16" s="5" t="n">
        <v>35.5</v>
      </c>
      <c r="BB16" s="1" t="s">
        <v>266</v>
      </c>
      <c r="BC16" s="6" t="n">
        <v>32</v>
      </c>
      <c r="BD16" s="1" t="s">
        <v>267</v>
      </c>
      <c r="BE16" s="6" t="n">
        <v>16</v>
      </c>
      <c r="BG16" s="6"/>
      <c r="BH16" s="5" t="n">
        <v>1261.06</v>
      </c>
      <c r="BI16" s="5" t="n">
        <v>784.43</v>
      </c>
      <c r="BJ16" s="19" t="s">
        <v>268</v>
      </c>
    </row>
    <row r="17" s="1" customFormat="true" ht="14.25" hidden="false" customHeight="false" outlineLevel="0" collapsed="false">
      <c r="A17" s="1" t="s">
        <v>269</v>
      </c>
      <c r="B17" s="1" t="s">
        <v>270</v>
      </c>
      <c r="C17" s="1" t="s">
        <v>59</v>
      </c>
      <c r="D17" s="1" t="s">
        <v>60</v>
      </c>
      <c r="E17" s="1" t="s">
        <v>189</v>
      </c>
      <c r="F17" s="1" t="s">
        <v>271</v>
      </c>
      <c r="G17" s="2" t="s">
        <v>272</v>
      </c>
      <c r="H17" s="1" t="s">
        <v>273</v>
      </c>
      <c r="I17" s="1" t="s">
        <v>274</v>
      </c>
      <c r="J17" s="1" t="s">
        <v>275</v>
      </c>
      <c r="K17" s="1" t="s">
        <v>276</v>
      </c>
      <c r="L17" s="1" t="s">
        <v>277</v>
      </c>
      <c r="M17" s="2" t="n">
        <v>2</v>
      </c>
      <c r="N17" s="1" t="s">
        <v>278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2</v>
      </c>
      <c r="Z17" s="3" t="n">
        <v>48</v>
      </c>
      <c r="AA17" s="1" t="n">
        <v>2</v>
      </c>
      <c r="AB17" s="1" t="n">
        <v>51</v>
      </c>
      <c r="AC17" s="1" t="n">
        <v>2</v>
      </c>
      <c r="AD17" s="1" t="n">
        <v>60</v>
      </c>
      <c r="AE17" s="1" t="n">
        <v>2</v>
      </c>
      <c r="AF17" s="1" t="n">
        <v>67</v>
      </c>
      <c r="AG17" s="1" t="n">
        <v>1</v>
      </c>
      <c r="AH17" s="1" t="n">
        <v>30</v>
      </c>
      <c r="AI17" s="1" t="n">
        <v>0</v>
      </c>
      <c r="AJ17" s="1" t="n">
        <v>0</v>
      </c>
      <c r="AK17" s="1" t="n">
        <v>9</v>
      </c>
      <c r="AL17" s="4" t="n">
        <v>256</v>
      </c>
      <c r="AM17" s="5" t="n">
        <v>622286</v>
      </c>
      <c r="AN17" s="5" t="n">
        <v>204434</v>
      </c>
      <c r="AO17" s="5" t="n">
        <v>0</v>
      </c>
      <c r="AP17" s="5" t="n">
        <v>3783</v>
      </c>
      <c r="AQ17" s="5" t="n">
        <v>13286</v>
      </c>
      <c r="AR17" s="5" t="n">
        <v>0</v>
      </c>
      <c r="AS17" s="6" t="n">
        <v>0</v>
      </c>
      <c r="AU17" s="6" t="n">
        <v>0</v>
      </c>
      <c r="AW17" s="6" t="n">
        <v>0</v>
      </c>
      <c r="AY17" s="5" t="n">
        <v>17.5</v>
      </c>
      <c r="AZ17" s="5" t="n">
        <v>19</v>
      </c>
      <c r="BA17" s="5" t="n">
        <v>36.5</v>
      </c>
      <c r="BB17" s="1" t="s">
        <v>279</v>
      </c>
      <c r="BC17" s="6" t="n">
        <v>15</v>
      </c>
      <c r="BD17" s="1" t="s">
        <v>280</v>
      </c>
      <c r="BE17" s="6" t="n">
        <v>15</v>
      </c>
      <c r="BF17" s="1" t="s">
        <v>281</v>
      </c>
      <c r="BG17" s="6" t="n">
        <v>1</v>
      </c>
      <c r="BH17" s="5" t="n">
        <v>1399.2</v>
      </c>
      <c r="BI17" s="5" t="n">
        <v>820.3</v>
      </c>
      <c r="BJ17" s="7" t="s">
        <v>101</v>
      </c>
    </row>
    <row r="18" s="1" customFormat="true" ht="14.25" hidden="true" customHeight="false" outlineLevel="0" collapsed="false">
      <c r="A18" s="1" t="s">
        <v>282</v>
      </c>
      <c r="B18" s="1" t="s">
        <v>283</v>
      </c>
      <c r="C18" s="1" t="s">
        <v>59</v>
      </c>
      <c r="D18" s="1" t="s">
        <v>60</v>
      </c>
      <c r="E18" s="1" t="s">
        <v>204</v>
      </c>
      <c r="F18" s="1" t="s">
        <v>284</v>
      </c>
      <c r="G18" s="2" t="s">
        <v>285</v>
      </c>
      <c r="H18" s="1" t="s">
        <v>286</v>
      </c>
      <c r="I18" s="1" t="s">
        <v>287</v>
      </c>
      <c r="J18" s="1" t="s">
        <v>288</v>
      </c>
      <c r="K18" s="1" t="s">
        <v>289</v>
      </c>
      <c r="L18" s="1" t="s">
        <v>290</v>
      </c>
      <c r="M18" s="2" t="n">
        <v>1</v>
      </c>
      <c r="N18" s="1" t="s">
        <v>291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2</v>
      </c>
      <c r="Z18" s="3" t="n">
        <v>47</v>
      </c>
      <c r="AA18" s="1" t="n">
        <v>2</v>
      </c>
      <c r="AB18" s="1" t="n">
        <v>49</v>
      </c>
      <c r="AC18" s="1" t="n">
        <v>1</v>
      </c>
      <c r="AD18" s="1" t="n">
        <v>27</v>
      </c>
      <c r="AE18" s="1" t="n">
        <v>2</v>
      </c>
      <c r="AF18" s="1" t="n">
        <v>61</v>
      </c>
      <c r="AG18" s="1" t="n">
        <v>2</v>
      </c>
      <c r="AH18" s="1" t="n">
        <v>56</v>
      </c>
      <c r="AI18" s="1" t="n">
        <v>0</v>
      </c>
      <c r="AJ18" s="1" t="n">
        <v>0</v>
      </c>
      <c r="AK18" s="1" t="n">
        <v>9</v>
      </c>
      <c r="AL18" s="4" t="n">
        <v>240</v>
      </c>
      <c r="AM18" s="5" t="n">
        <v>615654</v>
      </c>
      <c r="AN18" s="5" t="n">
        <v>168332</v>
      </c>
      <c r="AO18" s="5" t="n">
        <v>0</v>
      </c>
      <c r="AP18" s="5" t="n">
        <v>0</v>
      </c>
      <c r="AQ18" s="5" t="n">
        <v>8376</v>
      </c>
      <c r="AR18" s="5" t="n">
        <v>0</v>
      </c>
      <c r="AS18" s="6" t="n">
        <v>0</v>
      </c>
      <c r="AU18" s="6" t="n">
        <v>1</v>
      </c>
      <c r="AV18" s="1" t="s">
        <v>292</v>
      </c>
      <c r="AW18" s="6" t="n">
        <v>0</v>
      </c>
      <c r="AY18" s="5" t="n">
        <v>16.5</v>
      </c>
      <c r="AZ18" s="5" t="n">
        <v>19</v>
      </c>
      <c r="BA18" s="5" t="n">
        <v>35.5</v>
      </c>
      <c r="BB18" s="1" t="s">
        <v>293</v>
      </c>
      <c r="BC18" s="6" t="n">
        <v>18</v>
      </c>
      <c r="BD18" s="1" t="s">
        <v>294</v>
      </c>
      <c r="BE18" s="6" t="n">
        <v>18</v>
      </c>
      <c r="BF18" s="1" t="s">
        <v>295</v>
      </c>
      <c r="BG18" s="6" t="n">
        <v>1</v>
      </c>
      <c r="BH18" s="5" t="n">
        <v>1148.84</v>
      </c>
      <c r="BI18" s="5" t="n">
        <v>792.9</v>
      </c>
      <c r="BJ18" s="7" t="s">
        <v>186</v>
      </c>
    </row>
    <row r="19" s="1" customFormat="true" ht="14.25" hidden="true" customHeight="false" outlineLevel="0" collapsed="false">
      <c r="A19" s="1" t="s">
        <v>296</v>
      </c>
      <c r="B19" s="1" t="s">
        <v>297</v>
      </c>
      <c r="C19" s="1" t="s">
        <v>59</v>
      </c>
      <c r="D19" s="1" t="s">
        <v>60</v>
      </c>
      <c r="E19" s="1" t="s">
        <v>298</v>
      </c>
      <c r="F19" s="1" t="s">
        <v>299</v>
      </c>
      <c r="G19" s="20" t="s">
        <v>300</v>
      </c>
      <c r="H19" s="1" t="s">
        <v>301</v>
      </c>
      <c r="I19" s="1" t="s">
        <v>302</v>
      </c>
      <c r="J19" s="1" t="s">
        <v>303</v>
      </c>
      <c r="K19" s="1" t="s">
        <v>304</v>
      </c>
      <c r="L19" s="1" t="s">
        <v>305</v>
      </c>
      <c r="M19" s="20" t="n">
        <v>2</v>
      </c>
      <c r="N19" s="1" t="s">
        <v>306</v>
      </c>
      <c r="O19" s="1" t="s">
        <v>307</v>
      </c>
      <c r="U19" s="1" t="n">
        <v>0</v>
      </c>
      <c r="V19" s="1" t="n">
        <v>0</v>
      </c>
      <c r="W19" s="1" t="n">
        <v>1</v>
      </c>
      <c r="X19" s="1" t="n">
        <v>0</v>
      </c>
      <c r="Y19" s="1" t="n">
        <v>2</v>
      </c>
      <c r="Z19" s="3" t="n">
        <v>52</v>
      </c>
      <c r="AA19" s="1" t="n">
        <v>2</v>
      </c>
      <c r="AB19" s="1" t="n">
        <v>58</v>
      </c>
      <c r="AC19" s="1" t="n">
        <v>1</v>
      </c>
      <c r="AD19" s="1" t="n">
        <v>30</v>
      </c>
      <c r="AE19" s="1" t="n">
        <v>3</v>
      </c>
      <c r="AF19" s="1" t="n">
        <v>84</v>
      </c>
      <c r="AG19" s="1" t="n">
        <v>3</v>
      </c>
      <c r="AH19" s="1" t="n">
        <v>81</v>
      </c>
      <c r="AI19" s="1" t="n">
        <v>0</v>
      </c>
      <c r="AJ19" s="1" t="n">
        <v>0</v>
      </c>
      <c r="AK19" s="1" t="n">
        <v>11</v>
      </c>
      <c r="AL19" s="4" t="n">
        <v>305</v>
      </c>
      <c r="AM19" s="21" t="n">
        <v>794340</v>
      </c>
      <c r="AN19" s="21" t="n">
        <v>225067</v>
      </c>
      <c r="AO19" s="21" t="n">
        <v>3269</v>
      </c>
      <c r="AP19" s="21"/>
      <c r="AQ19" s="21" t="n">
        <v>26157</v>
      </c>
      <c r="AR19" s="21" t="n">
        <v>0</v>
      </c>
      <c r="AS19" s="22" t="n">
        <v>1</v>
      </c>
      <c r="AU19" s="22" t="n">
        <v>0</v>
      </c>
      <c r="AW19" s="22" t="n">
        <v>0</v>
      </c>
      <c r="AY19" s="21" t="n">
        <v>22.5</v>
      </c>
      <c r="AZ19" s="21" t="n">
        <v>22.5</v>
      </c>
      <c r="BA19" s="21" t="n">
        <v>45</v>
      </c>
      <c r="BB19" s="1" t="s">
        <v>308</v>
      </c>
      <c r="BC19" s="22" t="n">
        <v>18</v>
      </c>
      <c r="BE19" s="22"/>
      <c r="BG19" s="22"/>
      <c r="BH19" s="21" t="n">
        <v>1369.82</v>
      </c>
      <c r="BI19" s="21" t="n">
        <v>775.19</v>
      </c>
      <c r="BJ19" s="23" t="s">
        <v>309</v>
      </c>
    </row>
    <row r="20" s="1" customFormat="true" ht="14.25" hidden="true" customHeight="false" outlineLevel="0" collapsed="false">
      <c r="A20" s="1" t="s">
        <v>310</v>
      </c>
      <c r="B20" s="1" t="s">
        <v>311</v>
      </c>
      <c r="C20" s="1" t="s">
        <v>59</v>
      </c>
      <c r="D20" s="1" t="s">
        <v>60</v>
      </c>
      <c r="E20" s="1" t="s">
        <v>312</v>
      </c>
      <c r="F20" s="1" t="s">
        <v>313</v>
      </c>
      <c r="G20" s="2" t="s">
        <v>314</v>
      </c>
      <c r="H20" s="1" t="s">
        <v>315</v>
      </c>
      <c r="I20" s="1" t="s">
        <v>316</v>
      </c>
      <c r="J20" s="1" t="s">
        <v>317</v>
      </c>
      <c r="K20" s="1" t="s">
        <v>318</v>
      </c>
      <c r="M20" s="2" t="n">
        <v>1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3" t="n">
        <v>0</v>
      </c>
      <c r="AA20" s="1" t="n">
        <v>2</v>
      </c>
      <c r="AB20" s="1" t="n">
        <v>51</v>
      </c>
      <c r="AC20" s="1" t="n">
        <v>2</v>
      </c>
      <c r="AD20" s="1" t="n">
        <v>59</v>
      </c>
      <c r="AE20" s="1" t="n">
        <v>1</v>
      </c>
      <c r="AF20" s="1" t="n">
        <v>31</v>
      </c>
      <c r="AG20" s="1" t="n">
        <v>1</v>
      </c>
      <c r="AH20" s="1" t="n">
        <v>31</v>
      </c>
      <c r="AI20" s="1" t="n">
        <v>0</v>
      </c>
      <c r="AJ20" s="1" t="n">
        <v>0</v>
      </c>
      <c r="AK20" s="1" t="n">
        <v>6</v>
      </c>
      <c r="AL20" s="4" t="n">
        <v>172</v>
      </c>
      <c r="AM20" s="5" t="n">
        <v>543203</v>
      </c>
      <c r="AN20" s="5" t="n">
        <v>127201</v>
      </c>
      <c r="AO20" s="5" t="n">
        <v>0</v>
      </c>
      <c r="AP20" s="5" t="n">
        <v>0</v>
      </c>
      <c r="AQ20" s="5" t="n">
        <v>12188</v>
      </c>
      <c r="AR20" s="5" t="n">
        <v>0</v>
      </c>
      <c r="AS20" s="6" t="n">
        <v>0</v>
      </c>
      <c r="AU20" s="6" t="n">
        <v>0</v>
      </c>
      <c r="AW20" s="6" t="n">
        <v>0</v>
      </c>
      <c r="AY20" s="5" t="n">
        <v>15</v>
      </c>
      <c r="AZ20" s="5" t="n">
        <v>13</v>
      </c>
      <c r="BA20" s="5" t="n">
        <v>28</v>
      </c>
      <c r="BB20" s="1" t="s">
        <v>319</v>
      </c>
      <c r="BC20" s="6" t="n">
        <v>14</v>
      </c>
      <c r="BD20" s="1" t="s">
        <v>320</v>
      </c>
      <c r="BE20" s="6" t="n">
        <v>12</v>
      </c>
      <c r="BF20" s="1" t="s">
        <v>321</v>
      </c>
      <c r="BG20" s="6" t="n">
        <v>12</v>
      </c>
      <c r="BH20" s="5" t="n">
        <v>1474.39</v>
      </c>
      <c r="BI20" s="5" t="n">
        <v>838.72</v>
      </c>
      <c r="BJ20" s="7" t="s">
        <v>101</v>
      </c>
    </row>
    <row r="21" s="1" customFormat="true" ht="14.25" hidden="true" customHeight="false" outlineLevel="0" collapsed="false">
      <c r="A21" s="1" t="s">
        <v>322</v>
      </c>
      <c r="B21" s="1" t="s">
        <v>323</v>
      </c>
      <c r="C21" s="1" t="s">
        <v>59</v>
      </c>
      <c r="D21" s="1" t="s">
        <v>60</v>
      </c>
      <c r="E21" s="1" t="s">
        <v>324</v>
      </c>
      <c r="F21" s="1" t="s">
        <v>325</v>
      </c>
      <c r="G21" s="2" t="s">
        <v>326</v>
      </c>
      <c r="H21" s="1" t="s">
        <v>327</v>
      </c>
      <c r="I21" s="1" t="s">
        <v>328</v>
      </c>
      <c r="J21" s="1" t="s">
        <v>329</v>
      </c>
      <c r="K21" s="1" t="s">
        <v>330</v>
      </c>
      <c r="L21" s="1" t="s">
        <v>331</v>
      </c>
      <c r="M21" s="2" t="n">
        <v>2</v>
      </c>
      <c r="N21" s="1" t="s">
        <v>332</v>
      </c>
      <c r="O21" s="1" t="s">
        <v>333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3" t="n">
        <v>0</v>
      </c>
      <c r="AA21" s="1" t="n">
        <v>1</v>
      </c>
      <c r="AB21" s="1" t="n">
        <v>27</v>
      </c>
      <c r="AC21" s="1" t="n">
        <v>2</v>
      </c>
      <c r="AD21" s="1" t="n">
        <v>46</v>
      </c>
      <c r="AE21" s="1" t="n">
        <v>2</v>
      </c>
      <c r="AF21" s="1" t="n">
        <v>45</v>
      </c>
      <c r="AG21" s="1" t="n">
        <v>1</v>
      </c>
      <c r="AH21" s="1" t="n">
        <v>29</v>
      </c>
      <c r="AI21" s="1" t="n">
        <v>0</v>
      </c>
      <c r="AJ21" s="1" t="n">
        <v>0</v>
      </c>
      <c r="AK21" s="1" t="n">
        <v>6</v>
      </c>
      <c r="AL21" s="4" t="n">
        <v>147</v>
      </c>
      <c r="AM21" s="5" t="n">
        <v>417110</v>
      </c>
      <c r="AN21" s="5" t="n">
        <v>138723</v>
      </c>
      <c r="AO21" s="5" t="n">
        <v>0</v>
      </c>
      <c r="AP21" s="5" t="n">
        <v>0</v>
      </c>
      <c r="AQ21" s="5" t="n">
        <v>3977</v>
      </c>
      <c r="AR21" s="5" t="n">
        <v>0</v>
      </c>
      <c r="AS21" s="6" t="n">
        <v>0</v>
      </c>
      <c r="AU21" s="6" t="n">
        <v>0</v>
      </c>
      <c r="AW21" s="6" t="n">
        <v>0</v>
      </c>
      <c r="AY21" s="5" t="n">
        <v>13.5</v>
      </c>
      <c r="AZ21" s="5" t="n">
        <v>15</v>
      </c>
      <c r="BA21" s="5" t="n">
        <v>28.5</v>
      </c>
      <c r="BB21" s="1" t="s">
        <v>334</v>
      </c>
      <c r="BC21" s="6" t="n">
        <v>13</v>
      </c>
      <c r="BD21" s="1" t="s">
        <v>335</v>
      </c>
      <c r="BE21" s="6" t="n">
        <v>1</v>
      </c>
      <c r="BG21" s="6"/>
      <c r="BH21" s="5" t="n">
        <v>1222</v>
      </c>
      <c r="BI21" s="5" t="n">
        <v>809</v>
      </c>
      <c r="BJ21" s="19" t="s">
        <v>173</v>
      </c>
    </row>
    <row r="22" s="1" customFormat="true" ht="14.25" hidden="true" customHeight="false" outlineLevel="0" collapsed="false">
      <c r="A22" s="1" t="s">
        <v>336</v>
      </c>
      <c r="B22" s="1" t="s">
        <v>337</v>
      </c>
      <c r="C22" s="1" t="s">
        <v>59</v>
      </c>
      <c r="D22" s="1" t="s">
        <v>338</v>
      </c>
      <c r="E22" s="1" t="s">
        <v>235</v>
      </c>
      <c r="F22" s="1" t="s">
        <v>339</v>
      </c>
      <c r="G22" s="20" t="s">
        <v>340</v>
      </c>
      <c r="H22" s="1" t="s">
        <v>341</v>
      </c>
      <c r="I22" s="1" t="s">
        <v>342</v>
      </c>
      <c r="J22" s="1" t="s">
        <v>343</v>
      </c>
      <c r="K22" s="1" t="s">
        <v>344</v>
      </c>
      <c r="L22" s="1" t="s">
        <v>345</v>
      </c>
      <c r="M22" s="20" t="n">
        <v>2</v>
      </c>
      <c r="N22" s="1" t="s">
        <v>346</v>
      </c>
      <c r="O22" s="1" t="s">
        <v>347</v>
      </c>
      <c r="U22" s="1" t="n">
        <v>2</v>
      </c>
      <c r="V22" s="1" t="n">
        <v>0</v>
      </c>
      <c r="W22" s="1" t="n">
        <v>1</v>
      </c>
      <c r="X22" s="1" t="n">
        <v>0</v>
      </c>
      <c r="Y22" s="1" t="n">
        <v>4</v>
      </c>
      <c r="Z22" s="3" t="n">
        <v>96</v>
      </c>
      <c r="AA22" s="1" t="n">
        <v>3</v>
      </c>
      <c r="AB22" s="1" t="n">
        <v>86</v>
      </c>
      <c r="AC22" s="1" t="n">
        <v>4</v>
      </c>
      <c r="AD22" s="1" t="n">
        <v>103</v>
      </c>
      <c r="AE22" s="1" t="n">
        <v>4</v>
      </c>
      <c r="AF22" s="1" t="n">
        <v>106</v>
      </c>
      <c r="AG22" s="1" t="n">
        <v>3</v>
      </c>
      <c r="AH22" s="1" t="n">
        <v>78</v>
      </c>
      <c r="AI22" s="1" t="n">
        <v>0</v>
      </c>
      <c r="AJ22" s="1" t="n">
        <v>0</v>
      </c>
      <c r="AK22" s="1" t="n">
        <v>18</v>
      </c>
      <c r="AL22" s="4" t="n">
        <v>469</v>
      </c>
      <c r="AM22" s="21" t="n">
        <v>1000000</v>
      </c>
      <c r="AN22" s="21" t="n">
        <v>353724</v>
      </c>
      <c r="AO22" s="21" t="n">
        <v>42210</v>
      </c>
      <c r="AP22" s="21" t="n">
        <v>903.42</v>
      </c>
      <c r="AQ22" s="21" t="n">
        <v>19006</v>
      </c>
      <c r="AR22" s="21" t="n">
        <v>305</v>
      </c>
      <c r="AS22" s="22" t="n">
        <v>1</v>
      </c>
      <c r="AT22" s="1" t="s">
        <v>348</v>
      </c>
      <c r="AU22" s="22" t="n">
        <v>1</v>
      </c>
      <c r="AV22" s="1" t="s">
        <v>349</v>
      </c>
      <c r="AW22" s="22" t="n">
        <v>0</v>
      </c>
      <c r="AY22" s="21" t="n">
        <v>32</v>
      </c>
      <c r="AZ22" s="21" t="n">
        <v>35</v>
      </c>
      <c r="BA22" s="21" t="n">
        <v>67</v>
      </c>
      <c r="BB22" s="1" t="s">
        <v>350</v>
      </c>
      <c r="BC22" s="22" t="n">
        <v>2</v>
      </c>
      <c r="BD22" s="1" t="s">
        <v>351</v>
      </c>
      <c r="BE22" s="22" t="n">
        <v>26</v>
      </c>
      <c r="BF22" s="1" t="s">
        <v>352</v>
      </c>
      <c r="BG22" s="22" t="n">
        <v>22</v>
      </c>
      <c r="BH22" s="21" t="n">
        <v>1127.6</v>
      </c>
      <c r="BI22" s="21" t="n">
        <v>674.33</v>
      </c>
      <c r="BJ22" s="23" t="s">
        <v>71</v>
      </c>
    </row>
    <row r="23" s="1" customFormat="true" ht="14.25" hidden="true" customHeight="false" outlineLevel="0" collapsed="false">
      <c r="A23" s="1" t="s">
        <v>353</v>
      </c>
      <c r="B23" s="1" t="s">
        <v>354</v>
      </c>
      <c r="C23" s="1" t="s">
        <v>59</v>
      </c>
      <c r="D23" s="1" t="s">
        <v>60</v>
      </c>
      <c r="E23" s="1" t="s">
        <v>355</v>
      </c>
      <c r="F23" s="1" t="s">
        <v>356</v>
      </c>
      <c r="G23" s="2" t="s">
        <v>357</v>
      </c>
      <c r="H23" s="1" t="s">
        <v>358</v>
      </c>
      <c r="I23" s="1" t="s">
        <v>359</v>
      </c>
      <c r="J23" s="1" t="s">
        <v>360</v>
      </c>
      <c r="K23" s="1" t="s">
        <v>361</v>
      </c>
      <c r="L23" s="1" t="s">
        <v>362</v>
      </c>
      <c r="M23" s="2" t="n">
        <v>1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1</v>
      </c>
      <c r="Z23" s="3" t="n">
        <v>23</v>
      </c>
      <c r="AA23" s="1" t="n">
        <v>2</v>
      </c>
      <c r="AB23" s="1" t="n">
        <v>53</v>
      </c>
      <c r="AC23" s="1" t="n">
        <v>2</v>
      </c>
      <c r="AD23" s="1" t="n">
        <v>62</v>
      </c>
      <c r="AE23" s="1" t="n">
        <v>2</v>
      </c>
      <c r="AF23" s="1" t="n">
        <v>54</v>
      </c>
      <c r="AG23" s="1" t="n">
        <v>2</v>
      </c>
      <c r="AH23" s="1" t="n">
        <v>57</v>
      </c>
      <c r="AI23" s="1" t="n">
        <v>0</v>
      </c>
      <c r="AJ23" s="1" t="n">
        <v>0</v>
      </c>
      <c r="AK23" s="1" t="n">
        <v>9</v>
      </c>
      <c r="AL23" s="4" t="n">
        <v>249</v>
      </c>
      <c r="AM23" s="5" t="n">
        <v>612357</v>
      </c>
      <c r="AN23" s="5" t="n">
        <v>136074</v>
      </c>
      <c r="AO23" s="5" t="n">
        <v>0</v>
      </c>
      <c r="AP23" s="5" t="n">
        <v>0</v>
      </c>
      <c r="AQ23" s="5" t="n">
        <v>8235</v>
      </c>
      <c r="AR23" s="5" t="n">
        <v>0</v>
      </c>
      <c r="AS23" s="6" t="n">
        <v>0</v>
      </c>
      <c r="AU23" s="6" t="n">
        <v>0</v>
      </c>
      <c r="AW23" s="6" t="n">
        <v>0</v>
      </c>
      <c r="AY23" s="5" t="n">
        <v>18</v>
      </c>
      <c r="AZ23" s="5" t="n">
        <v>19.5</v>
      </c>
      <c r="BA23" s="5" t="n">
        <v>37.5</v>
      </c>
      <c r="BB23" s="1" t="s">
        <v>363</v>
      </c>
      <c r="BC23" s="6" t="n">
        <v>19</v>
      </c>
      <c r="BD23" s="1" t="s">
        <v>364</v>
      </c>
      <c r="BE23" s="6" t="n">
        <v>19</v>
      </c>
      <c r="BF23" s="1" t="s">
        <v>365</v>
      </c>
      <c r="BG23" s="6" t="n">
        <v>3</v>
      </c>
      <c r="BH23" s="5" t="n">
        <v>1263.44</v>
      </c>
      <c r="BI23" s="5" t="n">
        <v>718.66</v>
      </c>
      <c r="BJ23" s="7" t="s">
        <v>71</v>
      </c>
    </row>
    <row r="24" s="1" customFormat="true" ht="14.25" hidden="true" customHeight="false" outlineLevel="0" collapsed="false">
      <c r="A24" s="1" t="s">
        <v>366</v>
      </c>
      <c r="B24" s="1" t="s">
        <v>367</v>
      </c>
      <c r="C24" s="1" t="s">
        <v>59</v>
      </c>
      <c r="D24" s="1" t="s">
        <v>60</v>
      </c>
      <c r="E24" s="1" t="s">
        <v>368</v>
      </c>
      <c r="F24" s="1" t="s">
        <v>369</v>
      </c>
      <c r="G24" s="2" t="s">
        <v>370</v>
      </c>
      <c r="H24" s="1" t="s">
        <v>371</v>
      </c>
      <c r="I24" s="1" t="s">
        <v>372</v>
      </c>
      <c r="J24" s="1" t="s">
        <v>373</v>
      </c>
      <c r="K24" s="1" t="s">
        <v>374</v>
      </c>
      <c r="L24" s="1" t="s">
        <v>375</v>
      </c>
      <c r="M24" s="2" t="n">
        <v>3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1</v>
      </c>
      <c r="Z24" s="3" t="n">
        <v>24</v>
      </c>
      <c r="AA24" s="1" t="n">
        <v>2</v>
      </c>
      <c r="AB24" s="1" t="n">
        <v>51</v>
      </c>
      <c r="AC24" s="1" t="n">
        <v>2</v>
      </c>
      <c r="AD24" s="1" t="n">
        <v>50</v>
      </c>
      <c r="AE24" s="1" t="n">
        <v>1</v>
      </c>
      <c r="AF24" s="1" t="n">
        <v>31</v>
      </c>
      <c r="AG24" s="1" t="n">
        <v>1</v>
      </c>
      <c r="AH24" s="1" t="n">
        <v>35</v>
      </c>
      <c r="AI24" s="1" t="n">
        <v>0</v>
      </c>
      <c r="AJ24" s="1" t="n">
        <v>0</v>
      </c>
      <c r="AK24" s="1" t="n">
        <v>7</v>
      </c>
      <c r="AL24" s="4" t="n">
        <v>191</v>
      </c>
      <c r="AM24" s="5" t="n">
        <v>486468</v>
      </c>
      <c r="AN24" s="5" t="n">
        <v>128398</v>
      </c>
      <c r="AO24" s="5" t="n">
        <v>0</v>
      </c>
      <c r="AP24" s="5" t="n">
        <v>0</v>
      </c>
      <c r="AQ24" s="5" t="n">
        <v>13390</v>
      </c>
      <c r="AR24" s="5" t="n">
        <v>0</v>
      </c>
      <c r="AS24" s="6" t="n">
        <v>0</v>
      </c>
      <c r="AU24" s="6" t="n">
        <v>1</v>
      </c>
      <c r="AV24" s="1" t="s">
        <v>376</v>
      </c>
      <c r="AW24" s="6" t="n">
        <v>0</v>
      </c>
      <c r="AY24" s="5" t="n">
        <v>13.5</v>
      </c>
      <c r="AZ24" s="5" t="n">
        <v>13.5</v>
      </c>
      <c r="BA24" s="5" t="n">
        <v>27</v>
      </c>
      <c r="BB24" s="1" t="s">
        <v>377</v>
      </c>
      <c r="BC24" s="6" t="n">
        <v>14</v>
      </c>
      <c r="BD24" s="1" t="s">
        <v>378</v>
      </c>
      <c r="BE24" s="6" t="n">
        <v>12</v>
      </c>
      <c r="BF24" s="1" t="s">
        <v>379</v>
      </c>
      <c r="BG24" s="6" t="n">
        <v>2</v>
      </c>
      <c r="BH24" s="5" t="n">
        <v>1298.48</v>
      </c>
      <c r="BI24" s="5" t="n">
        <v>822.9</v>
      </c>
      <c r="BJ24" s="7" t="s">
        <v>71</v>
      </c>
    </row>
    <row r="25" s="1" customFormat="true" ht="14.25" hidden="true" customHeight="false" outlineLevel="0" collapsed="false">
      <c r="A25" s="1" t="s">
        <v>380</v>
      </c>
      <c r="B25" s="1" t="s">
        <v>381</v>
      </c>
      <c r="C25" s="1" t="s">
        <v>59</v>
      </c>
      <c r="D25" s="1" t="s">
        <v>60</v>
      </c>
      <c r="E25" s="1" t="s">
        <v>137</v>
      </c>
      <c r="F25" s="1" t="s">
        <v>382</v>
      </c>
      <c r="G25" s="2" t="s">
        <v>383</v>
      </c>
      <c r="H25" s="1" t="s">
        <v>384</v>
      </c>
      <c r="I25" s="1" t="s">
        <v>385</v>
      </c>
      <c r="K25" s="1" t="s">
        <v>386</v>
      </c>
      <c r="L25" s="1" t="s">
        <v>387</v>
      </c>
      <c r="M25" s="2" t="n">
        <v>1</v>
      </c>
      <c r="N25" s="1" t="s">
        <v>388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2</v>
      </c>
      <c r="Z25" s="3" t="n">
        <v>48</v>
      </c>
      <c r="AA25" s="1" t="n">
        <v>2</v>
      </c>
      <c r="AB25" s="1" t="n">
        <v>51</v>
      </c>
      <c r="AC25" s="1" t="n">
        <v>2</v>
      </c>
      <c r="AD25" s="1" t="n">
        <v>58</v>
      </c>
      <c r="AE25" s="1" t="n">
        <v>2</v>
      </c>
      <c r="AF25" s="1" t="n">
        <v>57</v>
      </c>
      <c r="AG25" s="1" t="n">
        <v>2</v>
      </c>
      <c r="AH25" s="1" t="n">
        <v>58</v>
      </c>
      <c r="AI25" s="1" t="n">
        <v>0</v>
      </c>
      <c r="AJ25" s="1" t="n">
        <v>0</v>
      </c>
      <c r="AK25" s="1" t="n">
        <v>10</v>
      </c>
      <c r="AL25" s="4" t="n">
        <v>272</v>
      </c>
      <c r="AM25" s="5" t="n">
        <v>707607</v>
      </c>
      <c r="AN25" s="5" t="n">
        <v>217520</v>
      </c>
      <c r="AO25" s="5" t="n">
        <v>0</v>
      </c>
      <c r="AP25" s="5" t="n">
        <v>0</v>
      </c>
      <c r="AQ25" s="5" t="n">
        <v>6885</v>
      </c>
      <c r="AR25" s="5" t="n">
        <v>0</v>
      </c>
      <c r="AS25" s="6" t="n">
        <v>0</v>
      </c>
      <c r="AU25" s="6" t="n">
        <v>0</v>
      </c>
      <c r="AW25" s="6" t="n">
        <v>0</v>
      </c>
      <c r="AY25" s="5" t="n">
        <v>19.5</v>
      </c>
      <c r="AZ25" s="5" t="n">
        <v>20.5</v>
      </c>
      <c r="BA25" s="5" t="n">
        <v>40</v>
      </c>
      <c r="BB25" s="1" t="s">
        <v>389</v>
      </c>
      <c r="BC25" s="6" t="n">
        <v>33</v>
      </c>
      <c r="BD25" s="1" t="s">
        <v>390</v>
      </c>
      <c r="BE25" s="6" t="n">
        <v>32</v>
      </c>
      <c r="BF25" s="1" t="s">
        <v>391</v>
      </c>
      <c r="BG25" s="6" t="n">
        <v>6</v>
      </c>
      <c r="BH25" s="5" t="n">
        <v>1218.48</v>
      </c>
      <c r="BI25" s="5" t="n">
        <v>782.09</v>
      </c>
      <c r="BJ25" s="7" t="s">
        <v>268</v>
      </c>
    </row>
    <row r="26" s="1" customFormat="true" ht="14.25" hidden="true" customHeight="false" outlineLevel="0" collapsed="false">
      <c r="A26" s="1" t="s">
        <v>392</v>
      </c>
      <c r="B26" s="1" t="s">
        <v>393</v>
      </c>
      <c r="C26" s="1" t="s">
        <v>59</v>
      </c>
      <c r="D26" s="1" t="s">
        <v>394</v>
      </c>
      <c r="E26" s="1" t="s">
        <v>395</v>
      </c>
      <c r="F26" s="1" t="s">
        <v>396</v>
      </c>
      <c r="G26" s="2" t="s">
        <v>397</v>
      </c>
      <c r="H26" s="1" t="s">
        <v>398</v>
      </c>
      <c r="I26" s="1" t="s">
        <v>399</v>
      </c>
      <c r="J26" s="1" t="s">
        <v>400</v>
      </c>
      <c r="K26" s="1" t="s">
        <v>401</v>
      </c>
      <c r="L26" s="1" t="s">
        <v>402</v>
      </c>
      <c r="M26" s="2" t="n">
        <v>3</v>
      </c>
      <c r="N26" s="1" t="s">
        <v>403</v>
      </c>
      <c r="O26" s="1" t="s">
        <v>404</v>
      </c>
      <c r="P26" s="1" t="s">
        <v>405</v>
      </c>
      <c r="Q26" s="1" t="n">
        <v>0</v>
      </c>
      <c r="R26" s="1" t="n">
        <v>0</v>
      </c>
      <c r="U26" s="1" t="n">
        <v>1</v>
      </c>
      <c r="V26" s="1" t="n">
        <v>0</v>
      </c>
      <c r="W26" s="1" t="n">
        <v>0</v>
      </c>
      <c r="X26" s="1" t="n">
        <v>0</v>
      </c>
      <c r="Y26" s="1" t="n">
        <v>4</v>
      </c>
      <c r="Z26" s="3" t="n">
        <v>88</v>
      </c>
      <c r="AA26" s="1" t="n">
        <v>3</v>
      </c>
      <c r="AB26" s="1" t="n">
        <v>73</v>
      </c>
      <c r="AC26" s="1" t="n">
        <v>2</v>
      </c>
      <c r="AD26" s="1" t="n">
        <v>58</v>
      </c>
      <c r="AE26" s="1" t="n">
        <v>2</v>
      </c>
      <c r="AF26" s="1" t="n">
        <v>63</v>
      </c>
      <c r="AG26" s="1" t="n">
        <v>3</v>
      </c>
      <c r="AH26" s="1" t="n">
        <v>75</v>
      </c>
      <c r="AI26" s="1" t="n">
        <v>0</v>
      </c>
      <c r="AJ26" s="1" t="n">
        <v>0</v>
      </c>
      <c r="AK26" s="1" t="n">
        <v>14</v>
      </c>
      <c r="AL26" s="4" t="n">
        <v>357</v>
      </c>
      <c r="AM26" s="5" t="n">
        <v>815415</v>
      </c>
      <c r="AN26" s="5" t="n">
        <v>262283</v>
      </c>
      <c r="AO26" s="5" t="n">
        <v>4320</v>
      </c>
      <c r="AP26" s="5" t="n">
        <v>0</v>
      </c>
      <c r="AQ26" s="5" t="n">
        <v>12508</v>
      </c>
      <c r="AR26" s="5" t="n">
        <v>0</v>
      </c>
      <c r="AS26" s="6" t="n">
        <v>0</v>
      </c>
      <c r="AU26" s="6" t="n">
        <v>1</v>
      </c>
      <c r="AV26" s="1" t="s">
        <v>292</v>
      </c>
      <c r="AW26" s="6" t="n">
        <v>0</v>
      </c>
      <c r="AY26" s="5" t="n">
        <v>23</v>
      </c>
      <c r="AZ26" s="5" t="n">
        <v>28</v>
      </c>
      <c r="BA26" s="5" t="n">
        <v>51</v>
      </c>
      <c r="BB26" s="1" t="s">
        <v>406</v>
      </c>
      <c r="BC26" s="6" t="n">
        <v>23</v>
      </c>
      <c r="BD26" s="1" t="s">
        <v>407</v>
      </c>
      <c r="BE26" s="6" t="n">
        <v>5</v>
      </c>
      <c r="BF26" s="1" t="s">
        <v>408</v>
      </c>
      <c r="BG26" s="6" t="n">
        <v>3</v>
      </c>
      <c r="BH26" s="5" t="n">
        <v>1335</v>
      </c>
      <c r="BI26" s="5" t="n">
        <v>788</v>
      </c>
      <c r="BJ26" s="7" t="s">
        <v>409</v>
      </c>
    </row>
    <row r="27" s="1" customFormat="true" ht="14.25" hidden="true" customHeight="false" outlineLevel="0" collapsed="false">
      <c r="A27" s="1" t="s">
        <v>410</v>
      </c>
      <c r="B27" s="1" t="s">
        <v>411</v>
      </c>
      <c r="C27" s="1" t="s">
        <v>59</v>
      </c>
      <c r="D27" s="1" t="s">
        <v>60</v>
      </c>
      <c r="E27" s="1" t="s">
        <v>204</v>
      </c>
      <c r="F27" s="1" t="s">
        <v>412</v>
      </c>
      <c r="G27" s="2" t="s">
        <v>413</v>
      </c>
      <c r="H27" s="1" t="s">
        <v>414</v>
      </c>
      <c r="I27" s="1" t="s">
        <v>415</v>
      </c>
      <c r="J27" s="1" t="s">
        <v>416</v>
      </c>
      <c r="K27" s="1" t="s">
        <v>417</v>
      </c>
      <c r="L27" s="1" t="s">
        <v>418</v>
      </c>
      <c r="M27" s="2" t="n">
        <v>1</v>
      </c>
      <c r="N27" s="1" t="s">
        <v>419</v>
      </c>
      <c r="U27" s="1" t="n">
        <v>1</v>
      </c>
      <c r="V27" s="1" t="n">
        <v>0</v>
      </c>
      <c r="W27" s="1" t="n">
        <v>0</v>
      </c>
      <c r="X27" s="1" t="n">
        <v>0</v>
      </c>
      <c r="Y27" s="1" t="n">
        <v>2</v>
      </c>
      <c r="Z27" s="3" t="n">
        <v>50</v>
      </c>
      <c r="AA27" s="1" t="n">
        <v>1</v>
      </c>
      <c r="AB27" s="1" t="n">
        <v>35</v>
      </c>
      <c r="AC27" s="1" t="n">
        <v>1</v>
      </c>
      <c r="AD27" s="1" t="n">
        <v>33</v>
      </c>
      <c r="AE27" s="1" t="n">
        <v>1</v>
      </c>
      <c r="AF27" s="1" t="n">
        <v>31</v>
      </c>
      <c r="AG27" s="1" t="n">
        <v>1</v>
      </c>
      <c r="AH27" s="1" t="n">
        <v>33</v>
      </c>
      <c r="AI27" s="1" t="n">
        <v>0</v>
      </c>
      <c r="AJ27" s="1" t="n">
        <v>0</v>
      </c>
      <c r="AK27" s="1" t="n">
        <v>6</v>
      </c>
      <c r="AL27" s="4" t="n">
        <v>182</v>
      </c>
      <c r="AM27" s="5" t="n">
        <v>383664</v>
      </c>
      <c r="AN27" s="5" t="n">
        <v>101973</v>
      </c>
      <c r="AO27" s="5" t="n">
        <v>0</v>
      </c>
      <c r="AP27" s="5" t="n">
        <v>0</v>
      </c>
      <c r="AQ27" s="5" t="n">
        <v>6585</v>
      </c>
      <c r="AR27" s="5" t="n">
        <v>0</v>
      </c>
      <c r="AS27" s="6" t="n">
        <v>0</v>
      </c>
      <c r="AU27" s="6" t="n">
        <v>0</v>
      </c>
      <c r="AW27" s="6" t="n">
        <v>0</v>
      </c>
      <c r="AY27" s="5" t="n">
        <v>10</v>
      </c>
      <c r="AZ27" s="5" t="n">
        <v>17.5</v>
      </c>
      <c r="BA27" s="5" t="n">
        <v>27.5</v>
      </c>
      <c r="BB27" s="1" t="s">
        <v>420</v>
      </c>
      <c r="BC27" s="6" t="n">
        <v>10</v>
      </c>
      <c r="BD27" s="1" t="s">
        <v>421</v>
      </c>
      <c r="BE27" s="6" t="n">
        <v>10</v>
      </c>
      <c r="BG27" s="6"/>
      <c r="BH27" s="5" t="n">
        <v>1275</v>
      </c>
      <c r="BI27" s="5" t="n">
        <v>862</v>
      </c>
      <c r="BJ27" s="7" t="s">
        <v>101</v>
      </c>
    </row>
    <row r="28" s="1" customFormat="true" ht="14.25" hidden="true" customHeight="false" outlineLevel="0" collapsed="false">
      <c r="A28" s="1" t="s">
        <v>422</v>
      </c>
      <c r="B28" s="1" t="s">
        <v>423</v>
      </c>
      <c r="C28" s="1" t="s">
        <v>59</v>
      </c>
      <c r="D28" s="1" t="s">
        <v>60</v>
      </c>
      <c r="E28" s="1" t="s">
        <v>137</v>
      </c>
      <c r="F28" s="1" t="s">
        <v>424</v>
      </c>
      <c r="G28" s="2" t="s">
        <v>425</v>
      </c>
      <c r="H28" s="1" t="s">
        <v>426</v>
      </c>
      <c r="I28" s="1" t="s">
        <v>427</v>
      </c>
      <c r="J28" s="1" t="s">
        <v>428</v>
      </c>
      <c r="K28" s="1" t="s">
        <v>429</v>
      </c>
      <c r="L28" s="1" t="s">
        <v>430</v>
      </c>
      <c r="M28" s="2"/>
      <c r="N28" s="1" t="s">
        <v>431</v>
      </c>
      <c r="O28" s="1" t="s">
        <v>432</v>
      </c>
      <c r="U28" s="1" t="n">
        <v>1</v>
      </c>
      <c r="V28" s="1" t="n">
        <v>0</v>
      </c>
      <c r="W28" s="1" t="n">
        <v>1</v>
      </c>
      <c r="X28" s="1" t="n">
        <v>1</v>
      </c>
      <c r="Y28" s="1" t="n">
        <v>2</v>
      </c>
      <c r="Z28" s="3" t="n">
        <v>46</v>
      </c>
      <c r="AA28" s="1" t="n">
        <v>2</v>
      </c>
      <c r="AB28" s="1" t="n">
        <v>51</v>
      </c>
      <c r="AC28" s="1" t="n">
        <v>1</v>
      </c>
      <c r="AD28" s="1" t="n">
        <v>27</v>
      </c>
      <c r="AE28" s="1" t="n">
        <v>1</v>
      </c>
      <c r="AF28" s="1" t="n">
        <v>30</v>
      </c>
      <c r="AG28" s="1" t="n">
        <v>2</v>
      </c>
      <c r="AH28" s="1" t="n">
        <v>52</v>
      </c>
      <c r="AI28" s="1" t="n">
        <v>0</v>
      </c>
      <c r="AJ28" s="1" t="n">
        <v>0</v>
      </c>
      <c r="AK28" s="1" t="n">
        <v>8</v>
      </c>
      <c r="AL28" s="4" t="n">
        <v>206</v>
      </c>
      <c r="AM28" s="5" t="n">
        <v>521662</v>
      </c>
      <c r="AN28" s="5" t="n">
        <v>151658</v>
      </c>
      <c r="AO28" s="5" t="n">
        <v>0</v>
      </c>
      <c r="AP28" s="5" t="n">
        <v>0</v>
      </c>
      <c r="AQ28" s="5" t="n">
        <v>323</v>
      </c>
      <c r="AR28" s="5" t="n">
        <v>0</v>
      </c>
      <c r="AS28" s="6" t="n">
        <v>0</v>
      </c>
      <c r="AU28" s="6" t="n">
        <v>0</v>
      </c>
      <c r="AW28" s="6" t="n">
        <v>0</v>
      </c>
      <c r="AY28" s="5" t="n">
        <v>14</v>
      </c>
      <c r="AZ28" s="5" t="n">
        <v>16.5</v>
      </c>
      <c r="BA28" s="5" t="n">
        <v>30.5</v>
      </c>
      <c r="BB28" s="1" t="s">
        <v>433</v>
      </c>
      <c r="BC28" s="6" t="n">
        <v>7</v>
      </c>
      <c r="BD28" s="1" t="s">
        <v>434</v>
      </c>
      <c r="BE28" s="6" t="n">
        <v>2</v>
      </c>
      <c r="BF28" s="1" t="s">
        <v>435</v>
      </c>
      <c r="BG28" s="6" t="n">
        <v>2</v>
      </c>
      <c r="BH28" s="5" t="n">
        <v>1330</v>
      </c>
      <c r="BI28" s="5" t="n">
        <v>832</v>
      </c>
      <c r="BJ28" s="7" t="s">
        <v>71</v>
      </c>
    </row>
    <row r="29" s="1" customFormat="true" ht="14.25" hidden="true" customHeight="false" outlineLevel="0" collapsed="false">
      <c r="A29" s="1" t="s">
        <v>436</v>
      </c>
      <c r="B29" s="1" t="s">
        <v>437</v>
      </c>
      <c r="C29" s="1" t="s">
        <v>59</v>
      </c>
      <c r="D29" s="1" t="s">
        <v>234</v>
      </c>
      <c r="E29" s="1" t="s">
        <v>204</v>
      </c>
      <c r="F29" s="1" t="s">
        <v>438</v>
      </c>
      <c r="G29" s="2" t="s">
        <v>439</v>
      </c>
      <c r="H29" s="1" t="s">
        <v>440</v>
      </c>
      <c r="I29" s="1" t="s">
        <v>441</v>
      </c>
      <c r="J29" s="1" t="s">
        <v>442</v>
      </c>
      <c r="K29" s="1" t="s">
        <v>443</v>
      </c>
      <c r="L29" s="1" t="s">
        <v>444</v>
      </c>
      <c r="M29" s="2" t="n">
        <v>1</v>
      </c>
      <c r="N29" s="1" t="s">
        <v>445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2</v>
      </c>
      <c r="Z29" s="3" t="n">
        <v>59</v>
      </c>
      <c r="AA29" s="1" t="n">
        <v>2</v>
      </c>
      <c r="AB29" s="1" t="n">
        <v>60</v>
      </c>
      <c r="AC29" s="1" t="n">
        <v>2</v>
      </c>
      <c r="AD29" s="1" t="n">
        <v>60</v>
      </c>
      <c r="AE29" s="1" t="n">
        <v>2</v>
      </c>
      <c r="AF29" s="1" t="n">
        <v>66</v>
      </c>
      <c r="AG29" s="1" t="n">
        <v>2</v>
      </c>
      <c r="AH29" s="1" t="n">
        <v>55</v>
      </c>
      <c r="AI29" s="1" t="n">
        <v>0</v>
      </c>
      <c r="AJ29" s="1" t="n">
        <v>0</v>
      </c>
      <c r="AK29" s="1" t="n">
        <v>10</v>
      </c>
      <c r="AL29" s="4" t="n">
        <v>300</v>
      </c>
      <c r="AM29" s="5" t="n">
        <v>728699</v>
      </c>
      <c r="AN29" s="5" t="n">
        <v>223892</v>
      </c>
      <c r="AO29" s="5" t="n">
        <v>0</v>
      </c>
      <c r="AP29" s="5" t="n">
        <v>0</v>
      </c>
      <c r="AQ29" s="5" t="n">
        <v>13787</v>
      </c>
      <c r="AR29" s="5" t="n">
        <v>0</v>
      </c>
      <c r="AS29" s="6" t="n">
        <v>0</v>
      </c>
      <c r="AU29" s="6" t="n">
        <v>0</v>
      </c>
      <c r="AW29" s="6" t="n">
        <v>0</v>
      </c>
      <c r="AY29" s="5" t="n">
        <v>20</v>
      </c>
      <c r="AZ29" s="5" t="n">
        <v>22</v>
      </c>
      <c r="BA29" s="5" t="n">
        <v>42</v>
      </c>
      <c r="BB29" s="1" t="s">
        <v>446</v>
      </c>
      <c r="BC29" s="6" t="n">
        <v>20</v>
      </c>
      <c r="BD29" s="1" t="s">
        <v>447</v>
      </c>
      <c r="BE29" s="6" t="n">
        <v>1</v>
      </c>
      <c r="BF29" s="1" t="s">
        <v>448</v>
      </c>
      <c r="BG29" s="6" t="n">
        <v>1</v>
      </c>
      <c r="BH29" s="5" t="n">
        <v>1223.82</v>
      </c>
      <c r="BI29" s="5" t="n">
        <v>775.38</v>
      </c>
      <c r="BJ29" s="7" t="s">
        <v>268</v>
      </c>
    </row>
    <row r="30" s="1" customFormat="true" ht="14.25" hidden="true" customHeight="false" outlineLevel="0" collapsed="false">
      <c r="A30" s="1" t="s">
        <v>449</v>
      </c>
      <c r="B30" s="1" t="s">
        <v>450</v>
      </c>
      <c r="C30" s="1" t="s">
        <v>59</v>
      </c>
      <c r="D30" s="1" t="s">
        <v>60</v>
      </c>
      <c r="E30" s="1" t="s">
        <v>368</v>
      </c>
      <c r="F30" s="1" t="s">
        <v>451</v>
      </c>
      <c r="G30" s="2" t="s">
        <v>452</v>
      </c>
      <c r="H30" s="1" t="s">
        <v>453</v>
      </c>
      <c r="I30" s="1" t="s">
        <v>454</v>
      </c>
      <c r="J30" s="1" t="s">
        <v>455</v>
      </c>
      <c r="K30" s="1" t="s">
        <v>456</v>
      </c>
      <c r="L30" s="1" t="s">
        <v>457</v>
      </c>
      <c r="M30" s="2" t="n">
        <v>1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2</v>
      </c>
      <c r="Z30" s="3" t="n">
        <v>49</v>
      </c>
      <c r="AA30" s="1" t="n">
        <v>2</v>
      </c>
      <c r="AB30" s="1" t="n">
        <v>59</v>
      </c>
      <c r="AC30" s="1" t="n">
        <v>2</v>
      </c>
      <c r="AD30" s="1" t="n">
        <v>59</v>
      </c>
      <c r="AE30" s="1" t="n">
        <v>2</v>
      </c>
      <c r="AF30" s="1" t="n">
        <v>64</v>
      </c>
      <c r="AG30" s="1" t="n">
        <v>3</v>
      </c>
      <c r="AH30" s="1" t="n">
        <v>88</v>
      </c>
      <c r="AI30" s="1" t="n">
        <v>0</v>
      </c>
      <c r="AJ30" s="1" t="n">
        <v>0</v>
      </c>
      <c r="AK30" s="1" t="n">
        <v>11</v>
      </c>
      <c r="AL30" s="4" t="n">
        <v>319</v>
      </c>
      <c r="AM30" s="5" t="n">
        <v>834996</v>
      </c>
      <c r="AN30" s="5" t="n">
        <v>241695</v>
      </c>
      <c r="AO30" s="5" t="n">
        <v>8194.93</v>
      </c>
      <c r="AP30" s="5" t="n">
        <v>0</v>
      </c>
      <c r="AQ30" s="5" t="n">
        <v>28316.05</v>
      </c>
      <c r="AR30" s="5" t="n">
        <v>0</v>
      </c>
      <c r="AS30" s="6" t="n">
        <v>0</v>
      </c>
      <c r="AU30" s="6" t="n">
        <v>1</v>
      </c>
      <c r="AV30" s="1" t="s">
        <v>458</v>
      </c>
      <c r="AW30" s="6" t="n">
        <v>2</v>
      </c>
      <c r="AX30" s="1" t="s">
        <v>459</v>
      </c>
      <c r="AY30" s="5" t="n">
        <v>21</v>
      </c>
      <c r="AZ30" s="5" t="n">
        <v>22</v>
      </c>
      <c r="BA30" s="5" t="n">
        <v>43</v>
      </c>
      <c r="BB30" s="1" t="s">
        <v>460</v>
      </c>
      <c r="BC30" s="6" t="n">
        <v>20</v>
      </c>
      <c r="BD30" s="1" t="s">
        <v>461</v>
      </c>
      <c r="BE30" s="6" t="n">
        <v>1</v>
      </c>
      <c r="BF30" s="1" t="s">
        <v>462</v>
      </c>
      <c r="BG30" s="6" t="n">
        <v>20</v>
      </c>
      <c r="BH30" s="5" t="n">
        <v>1118.83</v>
      </c>
      <c r="BI30" s="5" t="n">
        <v>749.46</v>
      </c>
      <c r="BJ30" s="7" t="s">
        <v>231</v>
      </c>
    </row>
    <row r="31" s="1" customFormat="true" ht="14.25" hidden="true" customHeight="false" outlineLevel="0" collapsed="false">
      <c r="A31" s="1" t="s">
        <v>463</v>
      </c>
      <c r="B31" s="1" t="s">
        <v>464</v>
      </c>
      <c r="C31" s="1" t="s">
        <v>59</v>
      </c>
      <c r="D31" s="1" t="s">
        <v>60</v>
      </c>
      <c r="E31" s="1" t="s">
        <v>368</v>
      </c>
      <c r="F31" s="1" t="s">
        <v>465</v>
      </c>
      <c r="G31" s="2" t="s">
        <v>466</v>
      </c>
      <c r="H31" s="1" t="s">
        <v>467</v>
      </c>
      <c r="I31" s="1" t="s">
        <v>468</v>
      </c>
      <c r="J31" s="1" t="s">
        <v>469</v>
      </c>
      <c r="K31" s="1" t="s">
        <v>470</v>
      </c>
      <c r="L31" s="1" t="s">
        <v>471</v>
      </c>
      <c r="M31" s="2" t="n">
        <v>1</v>
      </c>
      <c r="U31" s="1" t="n">
        <v>2</v>
      </c>
      <c r="V31" s="1" t="n">
        <v>0</v>
      </c>
      <c r="W31" s="1" t="n">
        <v>0</v>
      </c>
      <c r="X31" s="1" t="n">
        <v>0</v>
      </c>
      <c r="Y31" s="1" t="n">
        <v>1</v>
      </c>
      <c r="Z31" s="3" t="n">
        <v>10</v>
      </c>
      <c r="AA31" s="1" t="n">
        <v>2</v>
      </c>
      <c r="AB31" s="1" t="n">
        <v>37</v>
      </c>
      <c r="AC31" s="1" t="n">
        <v>1</v>
      </c>
      <c r="AD31" s="1" t="n">
        <v>27</v>
      </c>
      <c r="AE31" s="1" t="n">
        <v>2</v>
      </c>
      <c r="AF31" s="1" t="n">
        <v>56</v>
      </c>
      <c r="AG31" s="1" t="n">
        <v>1</v>
      </c>
      <c r="AH31" s="1" t="n">
        <v>25</v>
      </c>
      <c r="AI31" s="1" t="n">
        <v>0</v>
      </c>
      <c r="AJ31" s="1" t="n">
        <v>0</v>
      </c>
      <c r="AK31" s="1" t="n">
        <v>7</v>
      </c>
      <c r="AL31" s="4" t="n">
        <v>155</v>
      </c>
      <c r="AM31" s="5" t="n">
        <v>466642</v>
      </c>
      <c r="AN31" s="5" t="n">
        <v>107157</v>
      </c>
      <c r="AO31" s="5" t="n">
        <v>0</v>
      </c>
      <c r="AP31" s="5" t="n">
        <v>0</v>
      </c>
      <c r="AQ31" s="5" t="n">
        <v>15142.61</v>
      </c>
      <c r="AR31" s="5" t="n">
        <v>273</v>
      </c>
      <c r="AS31" s="6" t="n">
        <v>1</v>
      </c>
      <c r="AU31" s="6" t="n">
        <v>0</v>
      </c>
      <c r="AW31" s="6" t="n">
        <v>0</v>
      </c>
      <c r="AY31" s="5" t="n">
        <v>14</v>
      </c>
      <c r="AZ31" s="5" t="n">
        <v>15.5</v>
      </c>
      <c r="BA31" s="5" t="n">
        <v>29.5</v>
      </c>
      <c r="BB31" s="1" t="s">
        <v>472</v>
      </c>
      <c r="BC31" s="6" t="n">
        <v>14</v>
      </c>
      <c r="BD31" s="1" t="s">
        <v>473</v>
      </c>
      <c r="BE31" s="6" t="n">
        <v>5</v>
      </c>
      <c r="BG31" s="6"/>
      <c r="BH31" s="5" t="n">
        <v>1318.8</v>
      </c>
      <c r="BI31" s="5" t="n">
        <v>814.94</v>
      </c>
      <c r="BJ31" s="7" t="s">
        <v>268</v>
      </c>
    </row>
    <row r="32" s="1" customFormat="true" ht="14.25" hidden="true" customHeight="false" outlineLevel="0" collapsed="false">
      <c r="A32" s="1" t="s">
        <v>474</v>
      </c>
      <c r="B32" s="1" t="s">
        <v>475</v>
      </c>
      <c r="C32" s="1" t="s">
        <v>59</v>
      </c>
      <c r="D32" s="1" t="s">
        <v>60</v>
      </c>
      <c r="E32" s="1" t="s">
        <v>355</v>
      </c>
      <c r="F32" s="1" t="s">
        <v>476</v>
      </c>
      <c r="G32" s="2" t="s">
        <v>477</v>
      </c>
      <c r="H32" s="1" t="s">
        <v>478</v>
      </c>
      <c r="I32" s="1" t="s">
        <v>479</v>
      </c>
      <c r="J32" s="1" t="s">
        <v>480</v>
      </c>
      <c r="K32" s="1" t="s">
        <v>481</v>
      </c>
      <c r="L32" s="1" t="s">
        <v>482</v>
      </c>
      <c r="M32" s="2" t="n">
        <v>1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1</v>
      </c>
      <c r="Z32" s="3" t="n">
        <v>15</v>
      </c>
      <c r="AA32" s="1" t="n">
        <v>1</v>
      </c>
      <c r="AB32" s="1" t="n">
        <v>31</v>
      </c>
      <c r="AC32" s="1" t="n">
        <v>2</v>
      </c>
      <c r="AD32" s="1" t="n">
        <v>53</v>
      </c>
      <c r="AE32" s="1" t="n">
        <v>2</v>
      </c>
      <c r="AF32" s="1" t="n">
        <v>46</v>
      </c>
      <c r="AG32" s="1" t="n">
        <v>2</v>
      </c>
      <c r="AH32" s="1" t="n">
        <v>37</v>
      </c>
      <c r="AI32" s="1" t="n">
        <v>0</v>
      </c>
      <c r="AJ32" s="1" t="n">
        <v>0</v>
      </c>
      <c r="AK32" s="1" t="n">
        <v>8</v>
      </c>
      <c r="AL32" s="4" t="n">
        <v>182</v>
      </c>
      <c r="AM32" s="5" t="n">
        <v>600819</v>
      </c>
      <c r="AN32" s="5" t="n">
        <v>114131</v>
      </c>
      <c r="AO32" s="5" t="n">
        <v>0</v>
      </c>
      <c r="AP32" s="5" t="n">
        <v>0</v>
      </c>
      <c r="AQ32" s="5" t="n">
        <v>8744</v>
      </c>
      <c r="AR32" s="5" t="n">
        <v>0</v>
      </c>
      <c r="AS32" s="6" t="n">
        <v>0</v>
      </c>
      <c r="AU32" s="6" t="n">
        <v>0</v>
      </c>
      <c r="AW32" s="6" t="n">
        <v>0</v>
      </c>
      <c r="AY32" s="5" t="n">
        <v>17.75</v>
      </c>
      <c r="AZ32" s="5" t="n">
        <v>19.25</v>
      </c>
      <c r="BA32" s="5" t="n">
        <v>37</v>
      </c>
      <c r="BB32" s="1" t="s">
        <v>483</v>
      </c>
      <c r="BC32" s="6" t="n">
        <v>16</v>
      </c>
      <c r="BD32" s="1" t="s">
        <v>484</v>
      </c>
      <c r="BE32" s="6" t="n">
        <v>1</v>
      </c>
      <c r="BF32" s="1" t="s">
        <v>485</v>
      </c>
      <c r="BG32" s="6" t="n">
        <v>12</v>
      </c>
      <c r="BH32" s="5" t="n">
        <v>1334.55</v>
      </c>
      <c r="BI32" s="5" t="n">
        <v>810.68</v>
      </c>
      <c r="BJ32" s="7" t="s">
        <v>486</v>
      </c>
    </row>
    <row r="33" s="1" customFormat="true" ht="14.25" hidden="true" customHeight="false" outlineLevel="0" collapsed="false">
      <c r="A33" s="1" t="s">
        <v>487</v>
      </c>
      <c r="B33" s="1" t="s">
        <v>488</v>
      </c>
      <c r="C33" s="1" t="s">
        <v>59</v>
      </c>
      <c r="D33" s="1" t="s">
        <v>60</v>
      </c>
      <c r="E33" s="1" t="s">
        <v>355</v>
      </c>
      <c r="F33" s="1" t="s">
        <v>489</v>
      </c>
      <c r="G33" s="2" t="s">
        <v>490</v>
      </c>
      <c r="H33" s="1" t="s">
        <v>491</v>
      </c>
      <c r="I33" s="1" t="s">
        <v>492</v>
      </c>
      <c r="J33" s="1" t="s">
        <v>493</v>
      </c>
      <c r="K33" s="1" t="s">
        <v>494</v>
      </c>
      <c r="L33" s="1" t="n">
        <v>8701</v>
      </c>
      <c r="M33" s="2" t="n">
        <v>2</v>
      </c>
      <c r="N33" s="1" t="s">
        <v>495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2</v>
      </c>
      <c r="Z33" s="3" t="n">
        <v>47</v>
      </c>
      <c r="AA33" s="1" t="n">
        <v>2</v>
      </c>
      <c r="AB33" s="1" t="n">
        <v>49</v>
      </c>
      <c r="AC33" s="1" t="n">
        <v>1</v>
      </c>
      <c r="AD33" s="1" t="n">
        <v>29</v>
      </c>
      <c r="AE33" s="1" t="n">
        <v>2</v>
      </c>
      <c r="AF33" s="1" t="n">
        <v>54</v>
      </c>
      <c r="AG33" s="1" t="n">
        <v>1</v>
      </c>
      <c r="AH33" s="1" t="n">
        <v>30</v>
      </c>
      <c r="AI33" s="1" t="n">
        <v>0</v>
      </c>
      <c r="AJ33" s="1" t="n">
        <v>0</v>
      </c>
      <c r="AK33" s="1" t="n">
        <v>8</v>
      </c>
      <c r="AL33" s="4" t="n">
        <v>209</v>
      </c>
      <c r="AM33" s="5" t="n">
        <v>533653</v>
      </c>
      <c r="AN33" s="5" t="n">
        <v>147210</v>
      </c>
      <c r="AO33" s="5" t="n">
        <v>0</v>
      </c>
      <c r="AP33" s="5" t="n">
        <v>0</v>
      </c>
      <c r="AQ33" s="5" t="n">
        <v>7589</v>
      </c>
      <c r="AR33" s="5" t="n">
        <v>0</v>
      </c>
      <c r="AS33" s="6" t="n">
        <v>0</v>
      </c>
      <c r="AU33" s="6" t="n">
        <v>1</v>
      </c>
      <c r="AV33" s="1" t="s">
        <v>496</v>
      </c>
      <c r="AW33" s="6" t="n">
        <v>0</v>
      </c>
      <c r="AY33" s="5" t="n">
        <v>15</v>
      </c>
      <c r="AZ33" s="5" t="n">
        <v>17</v>
      </c>
      <c r="BA33" s="5" t="n">
        <v>32</v>
      </c>
      <c r="BB33" s="1" t="s">
        <v>497</v>
      </c>
      <c r="BC33" s="6" t="n">
        <v>14</v>
      </c>
      <c r="BD33" s="1" t="s">
        <v>498</v>
      </c>
      <c r="BE33" s="6" t="n">
        <v>2</v>
      </c>
      <c r="BG33" s="6"/>
      <c r="BH33" s="5" t="n">
        <v>1260</v>
      </c>
      <c r="BI33" s="5" t="n">
        <v>789</v>
      </c>
      <c r="BJ33" s="7" t="s">
        <v>101</v>
      </c>
    </row>
    <row r="34" s="1" customFormat="true" ht="14.25" hidden="true" customHeight="false" outlineLevel="0" collapsed="false">
      <c r="A34" s="1" t="s">
        <v>499</v>
      </c>
      <c r="B34" s="1" t="s">
        <v>500</v>
      </c>
      <c r="C34" s="1" t="s">
        <v>59</v>
      </c>
      <c r="D34" s="1" t="s">
        <v>60</v>
      </c>
      <c r="E34" s="1" t="s">
        <v>176</v>
      </c>
      <c r="F34" s="1" t="s">
        <v>501</v>
      </c>
      <c r="G34" s="2" t="s">
        <v>502</v>
      </c>
      <c r="H34" s="1" t="s">
        <v>503</v>
      </c>
      <c r="I34" s="1" t="s">
        <v>504</v>
      </c>
      <c r="J34" s="1" t="s">
        <v>505</v>
      </c>
      <c r="K34" s="1" t="s">
        <v>506</v>
      </c>
      <c r="M34" s="2" t="n">
        <v>1</v>
      </c>
      <c r="N34" s="1" t="s">
        <v>501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2</v>
      </c>
      <c r="Z34" s="3" t="n">
        <v>46</v>
      </c>
      <c r="AA34" s="1" t="n">
        <v>1</v>
      </c>
      <c r="AB34" s="1" t="n">
        <v>27</v>
      </c>
      <c r="AC34" s="1" t="n">
        <v>2</v>
      </c>
      <c r="AD34" s="1" t="n">
        <v>64</v>
      </c>
      <c r="AE34" s="1" t="n">
        <v>2</v>
      </c>
      <c r="AF34" s="1" t="n">
        <v>65</v>
      </c>
      <c r="AG34" s="1" t="n">
        <v>2</v>
      </c>
      <c r="AH34" s="1" t="n">
        <v>49</v>
      </c>
      <c r="AI34" s="1" t="n">
        <v>0</v>
      </c>
      <c r="AJ34" s="1" t="n">
        <v>0</v>
      </c>
      <c r="AK34" s="1" t="n">
        <v>9</v>
      </c>
      <c r="AL34" s="4" t="n">
        <v>251</v>
      </c>
      <c r="AM34" s="5" t="n">
        <v>704700</v>
      </c>
      <c r="AN34" s="5" t="n">
        <v>215775</v>
      </c>
      <c r="AO34" s="5" t="n">
        <v>0</v>
      </c>
      <c r="AP34" s="5" t="n">
        <v>0</v>
      </c>
      <c r="AQ34" s="5" t="n">
        <v>14755</v>
      </c>
      <c r="AR34" s="5" t="n">
        <v>0</v>
      </c>
      <c r="AS34" s="6" t="n">
        <v>0</v>
      </c>
      <c r="AU34" s="6" t="n">
        <v>0</v>
      </c>
      <c r="AW34" s="6" t="n">
        <v>0</v>
      </c>
      <c r="AY34" s="5" t="n">
        <v>18</v>
      </c>
      <c r="AZ34" s="5" t="n">
        <v>21.5</v>
      </c>
      <c r="BA34" s="5" t="n">
        <v>39.5</v>
      </c>
      <c r="BC34" s="6"/>
      <c r="BE34" s="6"/>
      <c r="BG34" s="6"/>
      <c r="BH34" s="5" t="n">
        <v>1332.61</v>
      </c>
      <c r="BI34" s="5" t="n">
        <v>747.64</v>
      </c>
      <c r="BJ34" s="7" t="s">
        <v>186</v>
      </c>
    </row>
    <row r="35" s="1" customFormat="true" ht="14.25" hidden="true" customHeight="false" outlineLevel="0" collapsed="false">
      <c r="A35" s="1" t="s">
        <v>507</v>
      </c>
      <c r="B35" s="1" t="s">
        <v>508</v>
      </c>
      <c r="C35" s="1" t="s">
        <v>59</v>
      </c>
      <c r="D35" s="1" t="s">
        <v>60</v>
      </c>
      <c r="E35" s="1" t="s">
        <v>368</v>
      </c>
      <c r="F35" s="1" t="s">
        <v>509</v>
      </c>
      <c r="G35" s="2" t="s">
        <v>510</v>
      </c>
      <c r="H35" s="1" t="s">
        <v>511</v>
      </c>
      <c r="I35" s="1" t="s">
        <v>512</v>
      </c>
      <c r="J35" s="1" t="s">
        <v>513</v>
      </c>
      <c r="K35" s="1" t="s">
        <v>514</v>
      </c>
      <c r="L35" s="1" t="s">
        <v>515</v>
      </c>
      <c r="M35" s="2" t="n">
        <v>1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2</v>
      </c>
      <c r="Z35" s="3" t="n">
        <v>50</v>
      </c>
      <c r="AA35" s="1" t="n">
        <v>2</v>
      </c>
      <c r="AB35" s="1" t="n">
        <v>51</v>
      </c>
      <c r="AC35" s="1" t="n">
        <v>2</v>
      </c>
      <c r="AD35" s="1" t="n">
        <v>61</v>
      </c>
      <c r="AE35" s="1" t="n">
        <v>2</v>
      </c>
      <c r="AF35" s="1" t="n">
        <v>66</v>
      </c>
      <c r="AG35" s="1" t="n">
        <v>2</v>
      </c>
      <c r="AH35" s="1" t="n">
        <v>62</v>
      </c>
      <c r="AI35" s="1" t="n">
        <v>0</v>
      </c>
      <c r="AJ35" s="1" t="n">
        <v>0</v>
      </c>
      <c r="AK35" s="1" t="n">
        <v>10</v>
      </c>
      <c r="AL35" s="4" t="n">
        <v>290</v>
      </c>
      <c r="AM35" s="5" t="n">
        <v>674271</v>
      </c>
      <c r="AN35" s="5" t="n">
        <v>144795</v>
      </c>
      <c r="AO35" s="5" t="n">
        <v>0</v>
      </c>
      <c r="AP35" s="5" t="n">
        <v>2149</v>
      </c>
      <c r="AQ35" s="5" t="n">
        <v>20791</v>
      </c>
      <c r="AR35" s="5" t="n">
        <v>0</v>
      </c>
      <c r="AS35" s="6" t="n">
        <v>0</v>
      </c>
      <c r="AU35" s="6" t="n">
        <v>1</v>
      </c>
      <c r="AW35" s="6" t="n">
        <v>0</v>
      </c>
      <c r="AY35" s="5" t="n">
        <v>19</v>
      </c>
      <c r="AZ35" s="5" t="n">
        <v>22</v>
      </c>
      <c r="BA35" s="5" t="n">
        <v>41</v>
      </c>
      <c r="BB35" s="1" t="s">
        <v>516</v>
      </c>
      <c r="BC35" s="6" t="n">
        <v>5</v>
      </c>
      <c r="BD35" s="1" t="s">
        <v>517</v>
      </c>
      <c r="BE35" s="6" t="n">
        <v>21</v>
      </c>
      <c r="BF35" s="1" t="s">
        <v>518</v>
      </c>
      <c r="BG35" s="6" t="n">
        <v>18</v>
      </c>
      <c r="BH35" s="5" t="n">
        <v>1272</v>
      </c>
      <c r="BI35" s="5" t="n">
        <v>819</v>
      </c>
      <c r="BJ35" s="7" t="s">
        <v>519</v>
      </c>
    </row>
    <row r="36" s="1" customFormat="true" ht="14.25" hidden="true" customHeight="false" outlineLevel="0" collapsed="false">
      <c r="A36" s="1" t="s">
        <v>520</v>
      </c>
      <c r="B36" s="1" t="s">
        <v>521</v>
      </c>
      <c r="C36" s="1" t="s">
        <v>59</v>
      </c>
      <c r="D36" s="1" t="s">
        <v>60</v>
      </c>
      <c r="E36" s="1" t="s">
        <v>355</v>
      </c>
      <c r="F36" s="1" t="s">
        <v>522</v>
      </c>
      <c r="G36" s="20" t="s">
        <v>523</v>
      </c>
      <c r="H36" s="1" t="s">
        <v>524</v>
      </c>
      <c r="I36" s="1" t="s">
        <v>525</v>
      </c>
      <c r="J36" s="1" t="s">
        <v>526</v>
      </c>
      <c r="K36" s="1" t="s">
        <v>527</v>
      </c>
      <c r="L36" s="1" t="s">
        <v>528</v>
      </c>
      <c r="M36" s="20" t="n">
        <v>1</v>
      </c>
      <c r="N36" s="1" t="s">
        <v>529</v>
      </c>
      <c r="U36" s="1" t="n">
        <v>0</v>
      </c>
      <c r="V36" s="1" t="n">
        <v>0</v>
      </c>
      <c r="W36" s="1" t="n">
        <v>0</v>
      </c>
      <c r="X36" s="1" t="n">
        <v>1</v>
      </c>
      <c r="Y36" s="1" t="n">
        <v>2</v>
      </c>
      <c r="Z36" s="3" t="n">
        <v>48</v>
      </c>
      <c r="AA36" s="1" t="n">
        <v>2</v>
      </c>
      <c r="AB36" s="1" t="n">
        <v>57</v>
      </c>
      <c r="AC36" s="1" t="n">
        <v>2</v>
      </c>
      <c r="AD36" s="1" t="n">
        <v>55</v>
      </c>
      <c r="AE36" s="1" t="n">
        <v>2</v>
      </c>
      <c r="AF36" s="1" t="n">
        <v>48</v>
      </c>
      <c r="AG36" s="1" t="n">
        <v>2</v>
      </c>
      <c r="AH36" s="1" t="n">
        <v>47</v>
      </c>
      <c r="AK36" s="1" t="n">
        <v>10</v>
      </c>
      <c r="AL36" s="4" t="n">
        <v>255</v>
      </c>
      <c r="AM36" s="21" t="n">
        <v>632433</v>
      </c>
      <c r="AN36" s="21" t="n">
        <v>189540</v>
      </c>
      <c r="AO36" s="21" t="n">
        <v>0</v>
      </c>
      <c r="AP36" s="21" t="n">
        <v>0</v>
      </c>
      <c r="AQ36" s="21" t="n">
        <v>3876</v>
      </c>
      <c r="AR36" s="21" t="n">
        <v>0</v>
      </c>
      <c r="AS36" s="22" t="n">
        <v>0</v>
      </c>
      <c r="AU36" s="22" t="n">
        <v>1</v>
      </c>
      <c r="AV36" s="1" t="s">
        <v>530</v>
      </c>
      <c r="AW36" s="22" t="n">
        <v>0</v>
      </c>
      <c r="AY36" s="21" t="n">
        <v>18</v>
      </c>
      <c r="AZ36" s="21" t="n">
        <v>19.5</v>
      </c>
      <c r="BA36" s="21" t="n">
        <v>37.5</v>
      </c>
      <c r="BB36" s="1" t="s">
        <v>531</v>
      </c>
      <c r="BC36" s="22" t="n">
        <v>15</v>
      </c>
      <c r="BE36" s="22"/>
      <c r="BG36" s="22"/>
      <c r="BH36" s="21" t="n">
        <v>1383</v>
      </c>
      <c r="BI36" s="21" t="n">
        <v>791</v>
      </c>
      <c r="BJ36" s="24" t="n">
        <v>43796</v>
      </c>
    </row>
    <row r="37" s="1" customFormat="true" ht="14.25" hidden="true" customHeight="false" outlineLevel="0" collapsed="false">
      <c r="A37" s="1" t="s">
        <v>532</v>
      </c>
      <c r="B37" s="1" t="s">
        <v>533</v>
      </c>
      <c r="C37" s="1" t="s">
        <v>59</v>
      </c>
      <c r="D37" s="1" t="s">
        <v>60</v>
      </c>
      <c r="E37" s="1" t="s">
        <v>235</v>
      </c>
      <c r="F37" s="1" t="s">
        <v>534</v>
      </c>
      <c r="G37" s="2" t="s">
        <v>535</v>
      </c>
      <c r="H37" s="1" t="s">
        <v>536</v>
      </c>
      <c r="I37" s="1" t="s">
        <v>537</v>
      </c>
      <c r="J37" s="1" t="s">
        <v>538</v>
      </c>
      <c r="K37" s="1" t="s">
        <v>539</v>
      </c>
      <c r="L37" s="1" t="s">
        <v>540</v>
      </c>
      <c r="M37" s="2" t="n">
        <v>1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3</v>
      </c>
      <c r="Z37" s="3" t="n">
        <v>22</v>
      </c>
      <c r="AA37" s="1" t="n">
        <v>1</v>
      </c>
      <c r="AB37" s="1" t="n">
        <v>30</v>
      </c>
      <c r="AC37" s="1" t="n">
        <v>2</v>
      </c>
      <c r="AD37" s="1" t="n">
        <v>53</v>
      </c>
      <c r="AE37" s="1" t="n">
        <v>2</v>
      </c>
      <c r="AF37" s="1" t="n">
        <v>47</v>
      </c>
      <c r="AG37" s="1" t="n">
        <v>2</v>
      </c>
      <c r="AH37" s="1" t="n">
        <v>48</v>
      </c>
      <c r="AI37" s="1" t="n">
        <v>0</v>
      </c>
      <c r="AJ37" s="1" t="n">
        <v>0</v>
      </c>
      <c r="AK37" s="1" t="n">
        <v>10</v>
      </c>
      <c r="AL37" s="4" t="n">
        <v>200</v>
      </c>
      <c r="AM37" s="5" t="n">
        <v>615267</v>
      </c>
      <c r="AN37" s="5" t="n">
        <v>187803</v>
      </c>
      <c r="AO37" s="5" t="n">
        <v>0</v>
      </c>
      <c r="AP37" s="5" t="n">
        <v>0</v>
      </c>
      <c r="AQ37" s="5" t="n">
        <v>4845.67</v>
      </c>
      <c r="AR37" s="5" t="n">
        <v>7710.6</v>
      </c>
      <c r="AS37" s="6" t="n">
        <v>0</v>
      </c>
      <c r="AU37" s="6" t="n">
        <v>0</v>
      </c>
      <c r="AW37" s="6" t="n">
        <v>0</v>
      </c>
      <c r="AY37" s="5" t="n">
        <v>14</v>
      </c>
      <c r="AZ37" s="5" t="n">
        <v>17</v>
      </c>
      <c r="BA37" s="5" t="n">
        <v>31</v>
      </c>
      <c r="BC37" s="6"/>
      <c r="BE37" s="6"/>
      <c r="BG37" s="6"/>
      <c r="BH37" s="5" t="n">
        <v>1398.51</v>
      </c>
      <c r="BI37" s="5" t="n">
        <v>737.74</v>
      </c>
      <c r="BJ37" s="19" t="s">
        <v>173</v>
      </c>
    </row>
    <row r="38" s="1" customFormat="true" ht="14.25" hidden="true" customHeight="false" outlineLevel="0" collapsed="false">
      <c r="A38" s="1" t="s">
        <v>541</v>
      </c>
      <c r="B38" s="1" t="s">
        <v>542</v>
      </c>
      <c r="C38" s="1" t="s">
        <v>59</v>
      </c>
      <c r="D38" s="1" t="s">
        <v>60</v>
      </c>
      <c r="E38" s="1" t="s">
        <v>105</v>
      </c>
      <c r="F38" s="1" t="s">
        <v>543</v>
      </c>
      <c r="G38" s="2" t="s">
        <v>544</v>
      </c>
      <c r="H38" s="1" t="s">
        <v>545</v>
      </c>
      <c r="I38" s="1" t="s">
        <v>546</v>
      </c>
      <c r="J38" s="1" t="s">
        <v>547</v>
      </c>
      <c r="K38" s="1" t="s">
        <v>548</v>
      </c>
      <c r="L38" s="1" t="s">
        <v>549</v>
      </c>
      <c r="M38" s="2" t="n">
        <v>1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2</v>
      </c>
      <c r="Z38" s="3" t="n">
        <v>54</v>
      </c>
      <c r="AA38" s="1" t="n">
        <v>3</v>
      </c>
      <c r="AB38" s="1" t="n">
        <v>76</v>
      </c>
      <c r="AC38" s="1" t="n">
        <v>2</v>
      </c>
      <c r="AD38" s="1" t="n">
        <v>62</v>
      </c>
      <c r="AE38" s="1" t="n">
        <v>2</v>
      </c>
      <c r="AF38" s="1" t="n">
        <v>62</v>
      </c>
      <c r="AG38" s="1" t="n">
        <v>2</v>
      </c>
      <c r="AH38" s="1" t="n">
        <v>65</v>
      </c>
      <c r="AI38" s="1" t="n">
        <v>0</v>
      </c>
      <c r="AJ38" s="1" t="n">
        <v>0</v>
      </c>
      <c r="AK38" s="1" t="n">
        <v>11</v>
      </c>
      <c r="AL38" s="4" t="n">
        <v>319</v>
      </c>
      <c r="AM38" s="5" t="n">
        <v>651842</v>
      </c>
      <c r="AN38" s="5" t="n">
        <v>179960</v>
      </c>
      <c r="AO38" s="5" t="n">
        <v>24025</v>
      </c>
      <c r="AP38" s="5" t="n">
        <v>0</v>
      </c>
      <c r="AQ38" s="5" t="n">
        <v>27472</v>
      </c>
      <c r="AR38" s="5" t="n">
        <v>90</v>
      </c>
      <c r="AS38" s="6" t="n">
        <v>0</v>
      </c>
      <c r="AT38" s="1" t="s">
        <v>550</v>
      </c>
      <c r="AU38" s="6" t="n">
        <v>7</v>
      </c>
      <c r="AV38" s="1" t="s">
        <v>551</v>
      </c>
      <c r="AW38" s="6" t="n">
        <v>3</v>
      </c>
      <c r="AX38" s="1" t="s">
        <v>552</v>
      </c>
      <c r="AY38" s="5" t="n">
        <v>25</v>
      </c>
      <c r="AZ38" s="5" t="n">
        <v>29</v>
      </c>
      <c r="BA38" s="5" t="n">
        <v>54</v>
      </c>
      <c r="BB38" s="1" t="s">
        <v>553</v>
      </c>
      <c r="BC38" s="6" t="n">
        <v>17</v>
      </c>
      <c r="BD38" s="1" t="s">
        <v>554</v>
      </c>
      <c r="BE38" s="6" t="n">
        <v>24</v>
      </c>
      <c r="BF38" s="1" t="s">
        <v>555</v>
      </c>
      <c r="BG38" s="6" t="n">
        <v>2</v>
      </c>
      <c r="BH38" s="5" t="n">
        <v>1084.23</v>
      </c>
      <c r="BI38" s="5" t="n">
        <v>805.49</v>
      </c>
      <c r="BJ38" s="7" t="s">
        <v>186</v>
      </c>
    </row>
    <row r="39" s="1" customFormat="true" ht="14.25" hidden="true" customHeight="false" outlineLevel="0" collapsed="false">
      <c r="A39" s="1" t="s">
        <v>556</v>
      </c>
      <c r="B39" s="1" t="s">
        <v>557</v>
      </c>
      <c r="C39" s="1" t="s">
        <v>59</v>
      </c>
      <c r="D39" s="1" t="s">
        <v>60</v>
      </c>
      <c r="E39" s="1" t="s">
        <v>137</v>
      </c>
      <c r="F39" s="1" t="s">
        <v>558</v>
      </c>
      <c r="G39" s="2" t="s">
        <v>559</v>
      </c>
      <c r="H39" s="1" t="s">
        <v>560</v>
      </c>
      <c r="I39" s="1" t="s">
        <v>561</v>
      </c>
      <c r="K39" s="1" t="s">
        <v>562</v>
      </c>
      <c r="L39" s="1" t="s">
        <v>563</v>
      </c>
      <c r="M39" s="2" t="n">
        <v>1</v>
      </c>
      <c r="N39" s="1" t="s">
        <v>564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2</v>
      </c>
      <c r="Z39" s="3" t="n">
        <v>47</v>
      </c>
      <c r="AA39" s="1" t="n">
        <v>2</v>
      </c>
      <c r="AB39" s="1" t="n">
        <v>50</v>
      </c>
      <c r="AC39" s="1" t="n">
        <v>2</v>
      </c>
      <c r="AD39" s="1" t="n">
        <v>60</v>
      </c>
      <c r="AE39" s="1" t="n">
        <v>2</v>
      </c>
      <c r="AF39" s="1" t="n">
        <v>60</v>
      </c>
      <c r="AG39" s="1" t="n">
        <v>2</v>
      </c>
      <c r="AH39" s="1" t="n">
        <v>59</v>
      </c>
      <c r="AI39" s="1" t="n">
        <v>0</v>
      </c>
      <c r="AJ39" s="1" t="n">
        <v>0</v>
      </c>
      <c r="AK39" s="1" t="n">
        <v>10</v>
      </c>
      <c r="AL39" s="4" t="n">
        <v>276</v>
      </c>
      <c r="AM39" s="5" t="n">
        <v>683877</v>
      </c>
      <c r="AN39" s="5" t="n">
        <v>233633</v>
      </c>
      <c r="AO39" s="5" t="n">
        <v>0</v>
      </c>
      <c r="AP39" s="5" t="n">
        <v>0</v>
      </c>
      <c r="AQ39" s="5" t="n">
        <v>7494.98</v>
      </c>
      <c r="AR39" s="5" t="n">
        <v>0</v>
      </c>
      <c r="AS39" s="6" t="n">
        <v>0</v>
      </c>
      <c r="AU39" s="6" t="n">
        <v>0</v>
      </c>
      <c r="AW39" s="6" t="n">
        <v>1</v>
      </c>
      <c r="AX39" s="1" t="s">
        <v>565</v>
      </c>
      <c r="AY39" s="5" t="n">
        <v>18.5</v>
      </c>
      <c r="AZ39" s="5" t="n">
        <v>21.5</v>
      </c>
      <c r="BA39" s="5" t="n">
        <v>40</v>
      </c>
      <c r="BB39" s="1" t="s">
        <v>566</v>
      </c>
      <c r="BC39" s="6" t="n">
        <v>12</v>
      </c>
      <c r="BD39" s="1" t="s">
        <v>567</v>
      </c>
      <c r="BE39" s="6" t="n">
        <v>1</v>
      </c>
      <c r="BG39" s="6"/>
      <c r="BH39" s="5" t="n">
        <v>1340</v>
      </c>
      <c r="BI39" s="5" t="n">
        <v>816</v>
      </c>
      <c r="BJ39" s="19" t="s">
        <v>173</v>
      </c>
    </row>
    <row r="40" s="1" customFormat="true" ht="14.25" hidden="true" customHeight="false" outlineLevel="0" collapsed="false">
      <c r="A40" s="1" t="s">
        <v>568</v>
      </c>
      <c r="B40" s="1" t="s">
        <v>569</v>
      </c>
      <c r="C40" s="1" t="s">
        <v>59</v>
      </c>
      <c r="D40" s="1" t="s">
        <v>60</v>
      </c>
      <c r="E40" s="1" t="s">
        <v>176</v>
      </c>
      <c r="F40" s="1" t="s">
        <v>570</v>
      </c>
      <c r="G40" s="2" t="s">
        <v>571</v>
      </c>
      <c r="H40" s="1" t="s">
        <v>572</v>
      </c>
      <c r="I40" s="1" t="s">
        <v>573</v>
      </c>
      <c r="J40" s="1" t="s">
        <v>574</v>
      </c>
      <c r="K40" s="1" t="s">
        <v>575</v>
      </c>
      <c r="L40" s="1" t="s">
        <v>576</v>
      </c>
      <c r="M40" s="2" t="n">
        <v>1</v>
      </c>
      <c r="U40" s="1" t="n">
        <v>0</v>
      </c>
      <c r="V40" s="1" t="n">
        <v>1</v>
      </c>
      <c r="W40" s="1" t="n">
        <v>0</v>
      </c>
      <c r="X40" s="1" t="n">
        <v>0</v>
      </c>
      <c r="Y40" s="1" t="n">
        <v>2</v>
      </c>
      <c r="Z40" s="3" t="n">
        <v>53</v>
      </c>
      <c r="AA40" s="1" t="n">
        <v>3</v>
      </c>
      <c r="AB40" s="1" t="n">
        <v>79</v>
      </c>
      <c r="AC40" s="1" t="n">
        <v>2</v>
      </c>
      <c r="AD40" s="1" t="n">
        <v>62</v>
      </c>
      <c r="AE40" s="1" t="n">
        <v>2</v>
      </c>
      <c r="AF40" s="1" t="n">
        <v>67</v>
      </c>
      <c r="AG40" s="1" t="n">
        <v>4</v>
      </c>
      <c r="AH40" s="1" t="n">
        <v>63</v>
      </c>
      <c r="AI40" s="1" t="n">
        <v>0</v>
      </c>
      <c r="AJ40" s="1" t="n">
        <v>0</v>
      </c>
      <c r="AK40" s="1" t="n">
        <v>13</v>
      </c>
      <c r="AL40" s="4" t="n">
        <v>324</v>
      </c>
      <c r="AM40" s="5" t="n">
        <v>869022</v>
      </c>
      <c r="AN40" s="5" t="n">
        <v>240601</v>
      </c>
      <c r="AO40" s="5" t="n">
        <v>0</v>
      </c>
      <c r="AP40" s="5" t="n">
        <v>0</v>
      </c>
      <c r="AQ40" s="5" t="n">
        <v>15887.54</v>
      </c>
      <c r="AR40" s="5" t="n">
        <v>0</v>
      </c>
      <c r="AS40" s="6" t="n">
        <v>0</v>
      </c>
      <c r="AU40" s="6" t="n">
        <v>0</v>
      </c>
      <c r="AW40" s="6" t="n">
        <v>0</v>
      </c>
      <c r="AY40" s="5" t="n">
        <v>23</v>
      </c>
      <c r="AZ40" s="5" t="n">
        <v>25</v>
      </c>
      <c r="BA40" s="5" t="n">
        <v>48</v>
      </c>
      <c r="BC40" s="6"/>
      <c r="BE40" s="6"/>
      <c r="BG40" s="6"/>
      <c r="BH40" s="5" t="n">
        <v>1314.43</v>
      </c>
      <c r="BI40" s="5" t="n">
        <v>825.99</v>
      </c>
      <c r="BJ40" s="19" t="s">
        <v>173</v>
      </c>
    </row>
    <row r="41" s="1" customFormat="true" ht="14.25" hidden="true" customHeight="false" outlineLevel="0" collapsed="false">
      <c r="A41" s="1" t="s">
        <v>577</v>
      </c>
      <c r="B41" s="1" t="s">
        <v>578</v>
      </c>
      <c r="C41" s="1" t="s">
        <v>59</v>
      </c>
      <c r="D41" s="1" t="s">
        <v>150</v>
      </c>
      <c r="E41" s="1" t="s">
        <v>74</v>
      </c>
      <c r="F41" s="1" t="s">
        <v>579</v>
      </c>
      <c r="G41" s="20" t="s">
        <v>580</v>
      </c>
      <c r="H41" s="1" t="s">
        <v>581</v>
      </c>
      <c r="I41" s="1" t="s">
        <v>582</v>
      </c>
      <c r="J41" s="1" t="s">
        <v>583</v>
      </c>
      <c r="K41" s="1" t="s">
        <v>584</v>
      </c>
      <c r="L41" s="1" t="s">
        <v>585</v>
      </c>
      <c r="M41" s="20" t="n">
        <v>1</v>
      </c>
      <c r="N41" s="1" t="s">
        <v>586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3" t="n">
        <v>0</v>
      </c>
      <c r="AA41" s="1" t="n">
        <v>1</v>
      </c>
      <c r="AB41" s="1" t="n">
        <v>29</v>
      </c>
      <c r="AC41" s="1" t="n">
        <v>1</v>
      </c>
      <c r="AD41" s="1" t="n">
        <v>33</v>
      </c>
      <c r="AE41" s="1" t="n">
        <v>1</v>
      </c>
      <c r="AF41" s="1" t="n">
        <v>35</v>
      </c>
      <c r="AG41" s="1" t="n">
        <v>1</v>
      </c>
      <c r="AH41" s="1" t="n">
        <v>37</v>
      </c>
      <c r="AI41" s="1" t="n">
        <v>0</v>
      </c>
      <c r="AJ41" s="1" t="n">
        <v>0</v>
      </c>
      <c r="AK41" s="1" t="n">
        <v>4</v>
      </c>
      <c r="AL41" s="4" t="n">
        <v>134</v>
      </c>
      <c r="AM41" s="21" t="n">
        <v>403149</v>
      </c>
      <c r="AN41" s="21" t="n">
        <v>102715</v>
      </c>
      <c r="AO41" s="21" t="n">
        <v>5000</v>
      </c>
      <c r="AP41" s="21" t="n">
        <v>0</v>
      </c>
      <c r="AQ41" s="21" t="n">
        <v>4206</v>
      </c>
      <c r="AR41" s="21" t="n">
        <v>0</v>
      </c>
      <c r="AS41" s="22" t="n">
        <v>0</v>
      </c>
      <c r="AU41" s="22" t="n">
        <v>2</v>
      </c>
      <c r="AV41" s="1" t="s">
        <v>587</v>
      </c>
      <c r="AW41" s="22" t="n">
        <v>0</v>
      </c>
      <c r="AY41" s="21" t="n">
        <v>9.5</v>
      </c>
      <c r="AZ41" s="21" t="n">
        <v>10.5</v>
      </c>
      <c r="BA41" s="21" t="n">
        <v>20</v>
      </c>
      <c r="BB41" s="1" t="s">
        <v>588</v>
      </c>
      <c r="BC41" s="22" t="n">
        <v>2</v>
      </c>
      <c r="BD41" s="1" t="s">
        <v>589</v>
      </c>
      <c r="BE41" s="22" t="n">
        <v>10</v>
      </c>
      <c r="BF41" s="1" t="s">
        <v>590</v>
      </c>
      <c r="BG41" s="22" t="n">
        <v>1</v>
      </c>
      <c r="BH41" s="21" t="n">
        <v>1338.53</v>
      </c>
      <c r="BI41" s="21" t="n">
        <v>849.1</v>
      </c>
      <c r="BJ41" s="23" t="s">
        <v>268</v>
      </c>
    </row>
    <row r="42" s="1" customFormat="true" ht="14.25" hidden="true" customHeight="false" outlineLevel="0" collapsed="false">
      <c r="A42" s="1" t="s">
        <v>591</v>
      </c>
      <c r="B42" s="1" t="s">
        <v>592</v>
      </c>
      <c r="C42" s="1" t="s">
        <v>59</v>
      </c>
      <c r="D42" s="1" t="s">
        <v>593</v>
      </c>
      <c r="E42" s="1" t="s">
        <v>105</v>
      </c>
      <c r="F42" s="1" t="s">
        <v>594</v>
      </c>
      <c r="G42" s="20" t="s">
        <v>595</v>
      </c>
      <c r="H42" s="1" t="s">
        <v>596</v>
      </c>
      <c r="I42" s="1" t="s">
        <v>597</v>
      </c>
      <c r="J42" s="1" t="s">
        <v>598</v>
      </c>
      <c r="K42" s="1" t="s">
        <v>599</v>
      </c>
      <c r="L42" s="1" t="s">
        <v>600</v>
      </c>
      <c r="M42" s="20" t="n">
        <v>1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3" t="n">
        <v>0</v>
      </c>
      <c r="AA42" s="1" t="n">
        <v>1</v>
      </c>
      <c r="AB42" s="1" t="n">
        <v>26</v>
      </c>
      <c r="AC42" s="1" t="n">
        <v>0</v>
      </c>
      <c r="AD42" s="1" t="n">
        <v>0</v>
      </c>
      <c r="AE42" s="1" t="n">
        <v>1</v>
      </c>
      <c r="AF42" s="1" t="n">
        <v>13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2</v>
      </c>
      <c r="AL42" s="4" t="n">
        <v>39</v>
      </c>
      <c r="AM42" s="21" t="n">
        <v>123422</v>
      </c>
      <c r="AN42" s="21" t="n">
        <v>27602</v>
      </c>
      <c r="AO42" s="21" t="n">
        <v>0</v>
      </c>
      <c r="AP42" s="21" t="n">
        <v>0</v>
      </c>
      <c r="AQ42" s="21" t="n">
        <v>0</v>
      </c>
      <c r="AR42" s="21" t="n">
        <v>0</v>
      </c>
      <c r="AS42" s="22" t="n">
        <v>0</v>
      </c>
      <c r="AU42" s="22" t="n">
        <v>0</v>
      </c>
      <c r="AW42" s="22" t="n">
        <v>0</v>
      </c>
      <c r="AY42" s="21"/>
      <c r="AZ42" s="21"/>
      <c r="BA42" s="21" t="n">
        <v>0</v>
      </c>
      <c r="BC42" s="22"/>
      <c r="BE42" s="22"/>
      <c r="BG42" s="22"/>
      <c r="BH42" s="21"/>
      <c r="BI42" s="21"/>
      <c r="BJ42" s="23" t="s">
        <v>309</v>
      </c>
    </row>
    <row r="43" s="1" customFormat="true" ht="14.25" hidden="true" customHeight="false" outlineLevel="0" collapsed="false">
      <c r="A43" s="1" t="s">
        <v>601</v>
      </c>
      <c r="B43" s="1" t="s">
        <v>602</v>
      </c>
      <c r="C43" s="1" t="s">
        <v>59</v>
      </c>
      <c r="D43" s="1" t="s">
        <v>60</v>
      </c>
      <c r="E43" s="1" t="s">
        <v>118</v>
      </c>
      <c r="F43" s="1" t="s">
        <v>603</v>
      </c>
      <c r="G43" s="2" t="s">
        <v>604</v>
      </c>
      <c r="H43" s="1" t="s">
        <v>605</v>
      </c>
      <c r="I43" s="1" t="s">
        <v>606</v>
      </c>
      <c r="J43" s="1" t="s">
        <v>607</v>
      </c>
      <c r="K43" s="1" t="s">
        <v>608</v>
      </c>
      <c r="M43" s="2" t="n">
        <v>1</v>
      </c>
      <c r="U43" s="1" t="n">
        <v>2</v>
      </c>
      <c r="V43" s="1" t="n">
        <v>0</v>
      </c>
      <c r="W43" s="1" t="n">
        <v>0</v>
      </c>
      <c r="X43" s="1" t="n">
        <v>0</v>
      </c>
      <c r="Y43" s="1" t="n">
        <v>1</v>
      </c>
      <c r="Z43" s="3" t="n">
        <v>23</v>
      </c>
      <c r="AA43" s="1" t="n">
        <v>2</v>
      </c>
      <c r="AB43" s="1" t="n">
        <v>50</v>
      </c>
      <c r="AC43" s="1" t="n">
        <v>1</v>
      </c>
      <c r="AD43" s="1" t="n">
        <v>27</v>
      </c>
      <c r="AE43" s="1" t="n">
        <v>2</v>
      </c>
      <c r="AF43" s="1" t="n">
        <v>51</v>
      </c>
      <c r="AG43" s="1" t="n">
        <v>2</v>
      </c>
      <c r="AH43" s="1" t="n">
        <v>50</v>
      </c>
      <c r="AI43" s="1" t="n">
        <v>2</v>
      </c>
      <c r="AJ43" s="1" t="n">
        <v>50</v>
      </c>
      <c r="AK43" s="1" t="n">
        <v>10</v>
      </c>
      <c r="AL43" s="4" t="n">
        <v>251</v>
      </c>
      <c r="AM43" s="5" t="n">
        <v>625333</v>
      </c>
      <c r="AN43" s="5" t="n">
        <v>185137</v>
      </c>
      <c r="AO43" s="5" t="n">
        <v>0</v>
      </c>
      <c r="AP43" s="5" t="n">
        <v>0</v>
      </c>
      <c r="AQ43" s="5" t="n">
        <v>4889</v>
      </c>
      <c r="AR43" s="5" t="n">
        <v>0</v>
      </c>
      <c r="AS43" s="6" t="n">
        <v>0</v>
      </c>
      <c r="AU43" s="6" t="n">
        <v>0</v>
      </c>
      <c r="AW43" s="6" t="n">
        <v>0</v>
      </c>
      <c r="AY43" s="5" t="n">
        <v>20.75</v>
      </c>
      <c r="AZ43" s="5" t="n">
        <v>17.5</v>
      </c>
      <c r="BA43" s="5" t="n">
        <v>38.25</v>
      </c>
      <c r="BB43" s="1" t="s">
        <v>609</v>
      </c>
      <c r="BC43" s="6" t="n">
        <v>1</v>
      </c>
      <c r="BD43" s="1" t="s">
        <v>610</v>
      </c>
      <c r="BE43" s="6" t="n">
        <v>1</v>
      </c>
      <c r="BF43" s="1" t="s">
        <v>611</v>
      </c>
      <c r="BG43" s="6" t="n">
        <v>1</v>
      </c>
      <c r="BH43" s="5" t="n">
        <v>1298.26</v>
      </c>
      <c r="BI43" s="5" t="n">
        <v>776.98</v>
      </c>
      <c r="BJ43" s="19" t="s">
        <v>173</v>
      </c>
    </row>
    <row r="44" s="1" customFormat="true" ht="14.25" hidden="true" customHeight="false" outlineLevel="0" collapsed="false">
      <c r="A44" s="1" t="s">
        <v>612</v>
      </c>
      <c r="B44" s="1" t="s">
        <v>613</v>
      </c>
      <c r="C44" s="1" t="s">
        <v>59</v>
      </c>
      <c r="D44" s="1" t="s">
        <v>60</v>
      </c>
      <c r="E44" s="1" t="s">
        <v>74</v>
      </c>
      <c r="F44" s="1" t="s">
        <v>614</v>
      </c>
      <c r="G44" s="2" t="s">
        <v>615</v>
      </c>
      <c r="H44" s="1" t="s">
        <v>616</v>
      </c>
      <c r="I44" s="1" t="s">
        <v>617</v>
      </c>
      <c r="J44" s="1" t="s">
        <v>618</v>
      </c>
      <c r="K44" s="1" t="s">
        <v>619</v>
      </c>
      <c r="L44" s="1" t="s">
        <v>620</v>
      </c>
      <c r="M44" s="2" t="n">
        <v>1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1</v>
      </c>
      <c r="Z44" s="3" t="n">
        <v>24</v>
      </c>
      <c r="AA44" s="1" t="n">
        <v>2</v>
      </c>
      <c r="AB44" s="1" t="n">
        <v>54</v>
      </c>
      <c r="AC44" s="1" t="n">
        <v>2</v>
      </c>
      <c r="AD44" s="1" t="n">
        <v>61</v>
      </c>
      <c r="AE44" s="1" t="n">
        <v>2</v>
      </c>
      <c r="AF44" s="1" t="n">
        <v>63</v>
      </c>
      <c r="AG44" s="1" t="n">
        <v>2</v>
      </c>
      <c r="AH44" s="1" t="n">
        <v>62</v>
      </c>
      <c r="AI44" s="1" t="n">
        <v>0</v>
      </c>
      <c r="AJ44" s="1" t="n">
        <v>0</v>
      </c>
      <c r="AK44" s="1" t="n">
        <v>9</v>
      </c>
      <c r="AL44" s="4" t="n">
        <v>264</v>
      </c>
      <c r="AM44" s="5" t="n">
        <v>767967</v>
      </c>
      <c r="AN44" s="5" t="n">
        <v>211952</v>
      </c>
      <c r="AO44" s="5" t="n">
        <v>0</v>
      </c>
      <c r="AP44" s="5" t="n">
        <v>0</v>
      </c>
      <c r="AQ44" s="5" t="n">
        <v>11721.08</v>
      </c>
      <c r="AR44" s="5" t="n">
        <v>0</v>
      </c>
      <c r="AS44" s="6" t="n">
        <v>0</v>
      </c>
      <c r="AU44" s="6" t="n">
        <v>0</v>
      </c>
      <c r="AW44" s="6" t="n">
        <v>0</v>
      </c>
      <c r="AY44" s="5" t="n">
        <v>20</v>
      </c>
      <c r="AZ44" s="5" t="n">
        <v>22</v>
      </c>
      <c r="BA44" s="5" t="n">
        <v>42</v>
      </c>
      <c r="BB44" s="1" t="s">
        <v>621</v>
      </c>
      <c r="BC44" s="6" t="n">
        <v>19</v>
      </c>
      <c r="BD44" s="1" t="s">
        <v>622</v>
      </c>
      <c r="BE44" s="6" t="n">
        <v>19</v>
      </c>
      <c r="BF44" s="1" t="s">
        <v>621</v>
      </c>
      <c r="BG44" s="6" t="n">
        <v>19</v>
      </c>
      <c r="BH44" s="5" t="n">
        <v>1385.8</v>
      </c>
      <c r="BI44" s="5" t="n">
        <v>871.05</v>
      </c>
      <c r="BJ44" s="7" t="s">
        <v>201</v>
      </c>
    </row>
    <row r="45" s="1" customFormat="true" ht="14.25" hidden="true" customHeight="false" outlineLevel="0" collapsed="false">
      <c r="A45" s="1" t="s">
        <v>623</v>
      </c>
      <c r="B45" s="1" t="s">
        <v>624</v>
      </c>
      <c r="C45" s="1" t="s">
        <v>59</v>
      </c>
      <c r="D45" s="1" t="s">
        <v>60</v>
      </c>
      <c r="E45" s="1" t="s">
        <v>625</v>
      </c>
      <c r="F45" s="1" t="s">
        <v>626</v>
      </c>
      <c r="G45" s="2" t="s">
        <v>627</v>
      </c>
      <c r="H45" s="1" t="s">
        <v>628</v>
      </c>
      <c r="I45" s="1" t="s">
        <v>629</v>
      </c>
      <c r="J45" s="1" t="s">
        <v>630</v>
      </c>
      <c r="K45" s="1" t="s">
        <v>631</v>
      </c>
      <c r="L45" s="1" t="s">
        <v>632</v>
      </c>
      <c r="M45" s="2"/>
      <c r="U45" s="1" t="n">
        <v>0</v>
      </c>
      <c r="V45" s="1" t="n">
        <v>0</v>
      </c>
      <c r="W45" s="1" t="n">
        <v>0</v>
      </c>
      <c r="X45" s="1" t="n">
        <v>0</v>
      </c>
      <c r="Y45" s="1" t="n">
        <v>1</v>
      </c>
      <c r="Z45" s="3" t="n">
        <v>25</v>
      </c>
      <c r="AA45" s="1" t="n">
        <v>1</v>
      </c>
      <c r="AB45" s="1" t="n">
        <v>31</v>
      </c>
      <c r="AC45" s="1" t="n">
        <v>1</v>
      </c>
      <c r="AD45" s="1" t="n">
        <v>33</v>
      </c>
      <c r="AE45" s="1" t="n">
        <v>2</v>
      </c>
      <c r="AF45" s="1" t="n">
        <v>45</v>
      </c>
      <c r="AG45" s="1" t="n">
        <v>1</v>
      </c>
      <c r="AH45" s="1" t="n">
        <v>31</v>
      </c>
      <c r="AI45" s="1" t="n">
        <v>0</v>
      </c>
      <c r="AJ45" s="1" t="n">
        <v>0</v>
      </c>
      <c r="AK45" s="1" t="n">
        <v>6</v>
      </c>
      <c r="AL45" s="4" t="n">
        <v>165</v>
      </c>
      <c r="AM45" s="5" t="n">
        <v>322683</v>
      </c>
      <c r="AN45" s="5" t="n">
        <v>77316</v>
      </c>
      <c r="AO45" s="5" t="n">
        <v>0</v>
      </c>
      <c r="AP45" s="5" t="n">
        <v>0</v>
      </c>
      <c r="AQ45" s="5" t="n">
        <v>0</v>
      </c>
      <c r="AR45" s="5" t="n">
        <v>0</v>
      </c>
      <c r="AS45" s="6" t="n">
        <v>0</v>
      </c>
      <c r="AU45" s="6" t="n">
        <v>0</v>
      </c>
      <c r="AW45" s="6"/>
      <c r="AY45" s="5" t="n">
        <v>12</v>
      </c>
      <c r="AZ45" s="5" t="n">
        <v>12.5</v>
      </c>
      <c r="BA45" s="5" t="n">
        <v>24.5</v>
      </c>
      <c r="BB45" s="1" t="s">
        <v>633</v>
      </c>
      <c r="BC45" s="6" t="n">
        <v>10</v>
      </c>
      <c r="BD45" s="1" t="s">
        <v>634</v>
      </c>
      <c r="BE45" s="6" t="n">
        <v>10</v>
      </c>
      <c r="BF45" s="1" t="s">
        <v>635</v>
      </c>
      <c r="BG45" s="6"/>
      <c r="BH45" s="5" t="n">
        <v>1258.64</v>
      </c>
      <c r="BI45" s="5" t="n">
        <v>899.35</v>
      </c>
      <c r="BJ45" s="7" t="s">
        <v>186</v>
      </c>
    </row>
    <row r="46" s="1" customFormat="true" ht="14.25" hidden="true" customHeight="false" outlineLevel="0" collapsed="false">
      <c r="A46" s="1" t="s">
        <v>636</v>
      </c>
      <c r="B46" s="1" t="s">
        <v>637</v>
      </c>
      <c r="C46" s="1" t="s">
        <v>59</v>
      </c>
      <c r="D46" s="1" t="s">
        <v>60</v>
      </c>
      <c r="E46" s="1" t="s">
        <v>638</v>
      </c>
      <c r="F46" s="1" t="s">
        <v>639</v>
      </c>
      <c r="G46" s="2" t="s">
        <v>640</v>
      </c>
      <c r="H46" s="1" t="s">
        <v>641</v>
      </c>
      <c r="I46" s="1" t="s">
        <v>642</v>
      </c>
      <c r="J46" s="1" t="s">
        <v>643</v>
      </c>
      <c r="K46" s="1" t="s">
        <v>644</v>
      </c>
      <c r="L46" s="1" t="s">
        <v>645</v>
      </c>
      <c r="M46" s="2" t="n">
        <v>1</v>
      </c>
      <c r="N46" s="1" t="s">
        <v>646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3" t="n">
        <v>0</v>
      </c>
      <c r="AA46" s="1" t="n">
        <v>1</v>
      </c>
      <c r="AB46" s="1" t="n">
        <v>26</v>
      </c>
      <c r="AC46" s="1" t="n">
        <v>1</v>
      </c>
      <c r="AD46" s="1" t="n">
        <v>29</v>
      </c>
      <c r="AE46" s="1" t="n">
        <v>1</v>
      </c>
      <c r="AF46" s="1" t="n">
        <v>30</v>
      </c>
      <c r="AG46" s="1" t="n">
        <v>1</v>
      </c>
      <c r="AH46" s="1" t="n">
        <v>30</v>
      </c>
      <c r="AI46" s="1" t="n">
        <v>0</v>
      </c>
      <c r="AJ46" s="1" t="n">
        <v>0</v>
      </c>
      <c r="AK46" s="1" t="n">
        <v>4</v>
      </c>
      <c r="AL46" s="4" t="n">
        <v>115</v>
      </c>
      <c r="AM46" s="5" t="n">
        <v>343654</v>
      </c>
      <c r="AN46" s="5" t="n">
        <v>50800</v>
      </c>
      <c r="AO46" s="5" t="n">
        <v>9984</v>
      </c>
      <c r="AP46" s="5" t="n">
        <v>0</v>
      </c>
      <c r="AQ46" s="5" t="n">
        <v>10237</v>
      </c>
      <c r="AR46" s="5" t="n">
        <v>32</v>
      </c>
      <c r="AS46" s="6" t="n">
        <v>0</v>
      </c>
      <c r="AU46" s="6" t="n">
        <v>0</v>
      </c>
      <c r="AW46" s="6" t="n">
        <v>1</v>
      </c>
      <c r="AX46" s="1" t="s">
        <v>647</v>
      </c>
      <c r="AY46" s="5" t="n">
        <v>9.5</v>
      </c>
      <c r="AZ46" s="5" t="n">
        <v>10.5</v>
      </c>
      <c r="BA46" s="5" t="n">
        <v>20</v>
      </c>
      <c r="BB46" s="1" t="s">
        <v>648</v>
      </c>
      <c r="BC46" s="6" t="n">
        <v>3</v>
      </c>
      <c r="BD46" s="1" t="s">
        <v>649</v>
      </c>
      <c r="BE46" s="6" t="n">
        <v>10</v>
      </c>
      <c r="BF46" s="1" t="s">
        <v>650</v>
      </c>
      <c r="BG46" s="6" t="n">
        <v>10</v>
      </c>
      <c r="BH46" s="5" t="n">
        <v>1394.26</v>
      </c>
      <c r="BI46" s="5" t="n">
        <v>833.05</v>
      </c>
      <c r="BJ46" s="7" t="s">
        <v>173</v>
      </c>
    </row>
    <row r="47" s="1" customFormat="true" ht="14.25" hidden="true" customHeight="false" outlineLevel="0" collapsed="false">
      <c r="A47" s="1" t="s">
        <v>651</v>
      </c>
      <c r="B47" s="1" t="s">
        <v>652</v>
      </c>
      <c r="C47" s="1" t="s">
        <v>59</v>
      </c>
      <c r="D47" s="1" t="s">
        <v>234</v>
      </c>
      <c r="E47" s="1" t="s">
        <v>105</v>
      </c>
      <c r="F47" s="1" t="s">
        <v>653</v>
      </c>
      <c r="G47" s="2" t="s">
        <v>654</v>
      </c>
      <c r="H47" s="1" t="s">
        <v>655</v>
      </c>
      <c r="I47" s="1" t="s">
        <v>656</v>
      </c>
      <c r="J47" s="1" t="s">
        <v>657</v>
      </c>
      <c r="K47" s="1" t="s">
        <v>658</v>
      </c>
      <c r="L47" s="1" t="s">
        <v>659</v>
      </c>
      <c r="M47" s="2" t="n">
        <v>1</v>
      </c>
      <c r="N47" s="1" t="s">
        <v>660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1</v>
      </c>
      <c r="Z47" s="3" t="n">
        <v>23</v>
      </c>
      <c r="AA47" s="1" t="n">
        <v>1</v>
      </c>
      <c r="AB47" s="1" t="n">
        <v>26</v>
      </c>
      <c r="AC47" s="1" t="n">
        <v>2</v>
      </c>
      <c r="AD47" s="1" t="n">
        <v>50</v>
      </c>
      <c r="AE47" s="1" t="n">
        <v>2</v>
      </c>
      <c r="AF47" s="1" t="n">
        <v>59</v>
      </c>
      <c r="AG47" s="1" t="n">
        <v>2</v>
      </c>
      <c r="AH47" s="1" t="n">
        <v>53</v>
      </c>
      <c r="AI47" s="1" t="n">
        <v>0</v>
      </c>
      <c r="AJ47" s="1" t="n">
        <v>0</v>
      </c>
      <c r="AK47" s="1" t="n">
        <v>8</v>
      </c>
      <c r="AL47" s="4" t="n">
        <v>211</v>
      </c>
      <c r="AM47" s="5" t="n">
        <v>585037</v>
      </c>
      <c r="AN47" s="5" t="n">
        <v>177856</v>
      </c>
      <c r="AO47" s="5" t="n">
        <v>0</v>
      </c>
      <c r="AP47" s="5" t="n">
        <v>0</v>
      </c>
      <c r="AQ47" s="5" t="n">
        <v>15066</v>
      </c>
      <c r="AR47" s="5" t="n">
        <v>0</v>
      </c>
      <c r="AS47" s="6" t="n">
        <v>0</v>
      </c>
      <c r="AT47" s="1" t="s">
        <v>661</v>
      </c>
      <c r="AU47" s="6" t="n">
        <v>1</v>
      </c>
      <c r="AW47" s="6" t="n">
        <v>0</v>
      </c>
      <c r="AY47" s="5" t="n">
        <v>17.5</v>
      </c>
      <c r="AZ47" s="5" t="n">
        <v>16.5</v>
      </c>
      <c r="BA47" s="5" t="n">
        <v>34</v>
      </c>
      <c r="BB47" s="1" t="s">
        <v>662</v>
      </c>
      <c r="BC47" s="6" t="n">
        <v>15</v>
      </c>
      <c r="BD47" s="1" t="s">
        <v>663</v>
      </c>
      <c r="BE47" s="6" t="n">
        <v>15</v>
      </c>
      <c r="BF47" s="1" t="s">
        <v>321</v>
      </c>
      <c r="BG47" s="6" t="n">
        <v>10</v>
      </c>
      <c r="BH47" s="5" t="n">
        <v>1279.67</v>
      </c>
      <c r="BI47" s="5" t="n">
        <v>807.88</v>
      </c>
      <c r="BJ47" s="7" t="s">
        <v>409</v>
      </c>
    </row>
    <row r="48" s="1" customFormat="true" ht="14.25" hidden="true" customHeight="false" outlineLevel="0" collapsed="false">
      <c r="A48" s="1" t="s">
        <v>664</v>
      </c>
      <c r="B48" s="1" t="s">
        <v>665</v>
      </c>
      <c r="C48" s="1" t="s">
        <v>59</v>
      </c>
      <c r="D48" s="1" t="s">
        <v>60</v>
      </c>
      <c r="E48" s="1" t="s">
        <v>355</v>
      </c>
      <c r="F48" s="1" t="s">
        <v>666</v>
      </c>
      <c r="G48" s="2" t="s">
        <v>667</v>
      </c>
      <c r="H48" s="1" t="s">
        <v>668</v>
      </c>
      <c r="I48" s="1" t="s">
        <v>669</v>
      </c>
      <c r="J48" s="1" t="s">
        <v>670</v>
      </c>
      <c r="K48" s="1" t="s">
        <v>671</v>
      </c>
      <c r="L48" s="1" t="s">
        <v>672</v>
      </c>
      <c r="M48" s="2" t="n">
        <v>1</v>
      </c>
      <c r="N48" s="1" t="s">
        <v>673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1</v>
      </c>
      <c r="Z48" s="3" t="n">
        <v>23</v>
      </c>
      <c r="AA48" s="1" t="n">
        <v>3</v>
      </c>
      <c r="AB48" s="1" t="n">
        <v>78</v>
      </c>
      <c r="AC48" s="1" t="n">
        <v>2</v>
      </c>
      <c r="AD48" s="1" t="n">
        <v>65</v>
      </c>
      <c r="AE48" s="1" t="n">
        <v>2</v>
      </c>
      <c r="AF48" s="1" t="n">
        <v>57</v>
      </c>
      <c r="AG48" s="1" t="n">
        <v>2</v>
      </c>
      <c r="AH48" s="1" t="n">
        <v>58</v>
      </c>
      <c r="AI48" s="1" t="n">
        <v>0</v>
      </c>
      <c r="AJ48" s="1" t="n">
        <v>0</v>
      </c>
      <c r="AK48" s="1" t="n">
        <v>10</v>
      </c>
      <c r="AL48" s="4" t="n">
        <v>281</v>
      </c>
      <c r="AM48" s="5" t="n">
        <v>733798</v>
      </c>
      <c r="AN48" s="5" t="n">
        <v>213984</v>
      </c>
      <c r="AO48" s="5" t="n">
        <v>3000</v>
      </c>
      <c r="AP48" s="5" t="n">
        <v>0</v>
      </c>
      <c r="AQ48" s="5" t="n">
        <v>0</v>
      </c>
      <c r="AR48" s="5" t="n">
        <v>0</v>
      </c>
      <c r="AS48" s="6" t="n">
        <v>1</v>
      </c>
      <c r="AT48" s="1" t="s">
        <v>674</v>
      </c>
      <c r="AU48" s="6" t="n">
        <v>0</v>
      </c>
      <c r="AW48" s="6" t="n">
        <v>0</v>
      </c>
      <c r="AY48" s="5" t="n">
        <v>23</v>
      </c>
      <c r="AZ48" s="5" t="n">
        <v>20.5</v>
      </c>
      <c r="BA48" s="5" t="n">
        <v>43.5</v>
      </c>
      <c r="BB48" s="1" t="s">
        <v>675</v>
      </c>
      <c r="BC48" s="6" t="n">
        <v>1</v>
      </c>
      <c r="BD48" s="1" t="s">
        <v>676</v>
      </c>
      <c r="BE48" s="6" t="n">
        <v>22</v>
      </c>
      <c r="BF48" s="1" t="s">
        <v>677</v>
      </c>
      <c r="BG48" s="6" t="n">
        <v>2</v>
      </c>
      <c r="BH48" s="5" t="n">
        <v>1355</v>
      </c>
      <c r="BI48" s="5" t="n">
        <v>725</v>
      </c>
      <c r="BJ48" s="7" t="s">
        <v>268</v>
      </c>
    </row>
    <row r="49" s="1" customFormat="true" ht="14.25" hidden="true" customHeight="false" outlineLevel="0" collapsed="false">
      <c r="A49" s="1" t="s">
        <v>678</v>
      </c>
      <c r="B49" s="1" t="s">
        <v>679</v>
      </c>
      <c r="C49" s="1" t="s">
        <v>59</v>
      </c>
      <c r="D49" s="1" t="s">
        <v>60</v>
      </c>
      <c r="E49" s="1" t="s">
        <v>638</v>
      </c>
      <c r="F49" s="1" t="s">
        <v>680</v>
      </c>
      <c r="G49" s="2" t="s">
        <v>681</v>
      </c>
      <c r="H49" s="1" t="s">
        <v>682</v>
      </c>
      <c r="I49" s="1" t="s">
        <v>683</v>
      </c>
      <c r="J49" s="1" t="s">
        <v>684</v>
      </c>
      <c r="K49" s="1" t="s">
        <v>685</v>
      </c>
      <c r="L49" s="1" t="s">
        <v>686</v>
      </c>
      <c r="M49" s="2" t="n">
        <v>1</v>
      </c>
      <c r="N49" s="1" t="s">
        <v>687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2</v>
      </c>
      <c r="Z49" s="3" t="n">
        <v>46</v>
      </c>
      <c r="AA49" s="1" t="n">
        <v>3</v>
      </c>
      <c r="AB49" s="1" t="n">
        <v>76</v>
      </c>
      <c r="AC49" s="1" t="n">
        <v>2</v>
      </c>
      <c r="AD49" s="1" t="n">
        <v>60</v>
      </c>
      <c r="AE49" s="1" t="n">
        <v>2</v>
      </c>
      <c r="AF49" s="1" t="n">
        <v>59</v>
      </c>
      <c r="AG49" s="1" t="n">
        <v>2</v>
      </c>
      <c r="AH49" s="1" t="n">
        <v>57</v>
      </c>
      <c r="AI49" s="1" t="n">
        <v>0</v>
      </c>
      <c r="AJ49" s="1" t="n">
        <v>0</v>
      </c>
      <c r="AK49" s="1" t="n">
        <v>11</v>
      </c>
      <c r="AL49" s="4" t="n">
        <v>298</v>
      </c>
      <c r="AM49" s="5" t="n">
        <v>766778</v>
      </c>
      <c r="AN49" s="5" t="n">
        <v>233992</v>
      </c>
      <c r="AO49" s="5" t="n">
        <v>0</v>
      </c>
      <c r="AP49" s="5" t="n">
        <v>0</v>
      </c>
      <c r="AQ49" s="5" t="n">
        <v>7128</v>
      </c>
      <c r="AR49" s="5" t="n">
        <v>0</v>
      </c>
      <c r="AS49" s="6" t="n">
        <v>0</v>
      </c>
      <c r="AU49" s="6" t="n">
        <v>3</v>
      </c>
      <c r="AV49" s="1" t="s">
        <v>688</v>
      </c>
      <c r="AW49" s="6" t="n">
        <v>1</v>
      </c>
      <c r="AX49" s="1" t="s">
        <v>689</v>
      </c>
      <c r="AY49" s="5" t="n">
        <v>23</v>
      </c>
      <c r="AZ49" s="5" t="n">
        <v>21.5</v>
      </c>
      <c r="BA49" s="5" t="n">
        <v>44.5</v>
      </c>
      <c r="BB49" s="1" t="s">
        <v>690</v>
      </c>
      <c r="BC49" s="6" t="n">
        <v>3</v>
      </c>
      <c r="BD49" s="1" t="s">
        <v>691</v>
      </c>
      <c r="BE49" s="6" t="n">
        <v>22</v>
      </c>
      <c r="BF49" s="1" t="s">
        <v>692</v>
      </c>
      <c r="BG49" s="6" t="n">
        <v>42</v>
      </c>
      <c r="BH49" s="5" t="n">
        <v>1189</v>
      </c>
      <c r="BI49" s="5" t="n">
        <v>835</v>
      </c>
      <c r="BJ49" s="7" t="s">
        <v>173</v>
      </c>
    </row>
    <row r="50" s="1" customFormat="true" ht="14.25" hidden="true" customHeight="false" outlineLevel="0" collapsed="false">
      <c r="A50" s="1" t="s">
        <v>693</v>
      </c>
      <c r="B50" s="1" t="s">
        <v>694</v>
      </c>
      <c r="C50" s="1" t="s">
        <v>59</v>
      </c>
      <c r="D50" s="1" t="s">
        <v>60</v>
      </c>
      <c r="E50" s="1" t="s">
        <v>368</v>
      </c>
      <c r="F50" s="1" t="s">
        <v>695</v>
      </c>
      <c r="G50" s="2" t="s">
        <v>696</v>
      </c>
      <c r="H50" s="1" t="s">
        <v>697</v>
      </c>
      <c r="I50" s="1" t="s">
        <v>698</v>
      </c>
      <c r="J50" s="1" t="s">
        <v>699</v>
      </c>
      <c r="K50" s="1" t="s">
        <v>700</v>
      </c>
      <c r="L50" s="1" t="s">
        <v>701</v>
      </c>
      <c r="M50" s="2" t="n">
        <v>1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U50" s="1" t="n">
        <v>1</v>
      </c>
      <c r="V50" s="1" t="n">
        <v>0</v>
      </c>
      <c r="W50" s="1" t="n">
        <v>0</v>
      </c>
      <c r="X50" s="1" t="n">
        <v>0</v>
      </c>
      <c r="Y50" s="1" t="n">
        <v>2</v>
      </c>
      <c r="Z50" s="3" t="n">
        <v>50</v>
      </c>
      <c r="AA50" s="1" t="n">
        <v>2</v>
      </c>
      <c r="AB50" s="1" t="n">
        <v>54</v>
      </c>
      <c r="AC50" s="1" t="n">
        <v>2</v>
      </c>
      <c r="AD50" s="1" t="n">
        <v>60</v>
      </c>
      <c r="AE50" s="1" t="n">
        <v>2</v>
      </c>
      <c r="AF50" s="1" t="n">
        <v>66</v>
      </c>
      <c r="AG50" s="1" t="n">
        <v>2</v>
      </c>
      <c r="AH50" s="1" t="n">
        <v>61</v>
      </c>
      <c r="AI50" s="1" t="n">
        <v>0</v>
      </c>
      <c r="AJ50" s="1" t="n">
        <v>0</v>
      </c>
      <c r="AK50" s="1" t="n">
        <v>10</v>
      </c>
      <c r="AL50" s="4" t="n">
        <v>291</v>
      </c>
      <c r="AM50" s="5" t="n">
        <v>710830.33</v>
      </c>
      <c r="AN50" s="5" t="n">
        <v>140249</v>
      </c>
      <c r="AO50" s="5" t="n">
        <v>3900</v>
      </c>
      <c r="AP50" s="5" t="n">
        <v>2051</v>
      </c>
      <c r="AQ50" s="5" t="n">
        <v>20578</v>
      </c>
      <c r="AR50" s="5" t="n">
        <v>39</v>
      </c>
      <c r="AS50" s="6" t="n">
        <v>0</v>
      </c>
      <c r="AT50" s="1" t="s">
        <v>702</v>
      </c>
      <c r="AU50" s="6" t="n">
        <v>0</v>
      </c>
      <c r="AV50" s="1" t="s">
        <v>703</v>
      </c>
      <c r="AW50" s="6" t="n">
        <v>0</v>
      </c>
      <c r="AY50" s="5" t="n">
        <v>19</v>
      </c>
      <c r="AZ50" s="5" t="n">
        <v>20.5</v>
      </c>
      <c r="BA50" s="5" t="n">
        <v>39.5</v>
      </c>
      <c r="BB50" s="1" t="s">
        <v>704</v>
      </c>
      <c r="BC50" s="6" t="n">
        <v>19</v>
      </c>
      <c r="BD50" s="1" t="s">
        <v>705</v>
      </c>
      <c r="BE50" s="6" t="n">
        <v>1</v>
      </c>
      <c r="BF50" s="1" t="s">
        <v>706</v>
      </c>
      <c r="BG50" s="6" t="n">
        <v>1</v>
      </c>
      <c r="BH50" s="5" t="n">
        <v>1246.98</v>
      </c>
      <c r="BI50" s="5" t="n">
        <v>892.27</v>
      </c>
      <c r="BJ50" s="7" t="s">
        <v>186</v>
      </c>
    </row>
    <row r="51" s="1" customFormat="true" ht="14.25" hidden="true" customHeight="false" outlineLevel="0" collapsed="false">
      <c r="A51" s="1" t="s">
        <v>707</v>
      </c>
      <c r="B51" s="1" t="s">
        <v>708</v>
      </c>
      <c r="C51" s="1" t="s">
        <v>59</v>
      </c>
      <c r="D51" s="1" t="s">
        <v>60</v>
      </c>
      <c r="E51" s="1" t="s">
        <v>61</v>
      </c>
      <c r="F51" s="1" t="s">
        <v>709</v>
      </c>
      <c r="G51" s="20" t="s">
        <v>710</v>
      </c>
      <c r="H51" s="1" t="s">
        <v>711</v>
      </c>
      <c r="I51" s="1" t="s">
        <v>712</v>
      </c>
      <c r="J51" s="1" t="s">
        <v>713</v>
      </c>
      <c r="K51" s="1" t="s">
        <v>714</v>
      </c>
      <c r="L51" s="1" t="s">
        <v>715</v>
      </c>
      <c r="M51" s="20" t="n">
        <v>1</v>
      </c>
      <c r="N51" s="1" t="s">
        <v>716</v>
      </c>
      <c r="U51" s="1" t="n">
        <v>2</v>
      </c>
      <c r="V51" s="1" t="n">
        <v>0</v>
      </c>
      <c r="W51" s="1" t="n">
        <v>0</v>
      </c>
      <c r="X51" s="1" t="n">
        <v>0</v>
      </c>
      <c r="Y51" s="1" t="n">
        <v>2</v>
      </c>
      <c r="Z51" s="3" t="n">
        <v>50</v>
      </c>
      <c r="AA51" s="1" t="n">
        <v>3</v>
      </c>
      <c r="AB51" s="1" t="n">
        <v>74</v>
      </c>
      <c r="AC51" s="1" t="n">
        <v>2</v>
      </c>
      <c r="AD51" s="1" t="n">
        <v>60</v>
      </c>
      <c r="AE51" s="1" t="n">
        <v>2</v>
      </c>
      <c r="AF51" s="1" t="n">
        <v>65</v>
      </c>
      <c r="AG51" s="1" t="n">
        <v>2</v>
      </c>
      <c r="AH51" s="1" t="n">
        <v>64</v>
      </c>
      <c r="AI51" s="1" t="n">
        <v>0</v>
      </c>
      <c r="AJ51" s="1" t="n">
        <v>0</v>
      </c>
      <c r="AK51" s="1" t="n">
        <v>11</v>
      </c>
      <c r="AL51" s="4" t="n">
        <v>313</v>
      </c>
      <c r="AM51" s="21" t="n">
        <v>927039</v>
      </c>
      <c r="AN51" s="21" t="n">
        <v>239840</v>
      </c>
      <c r="AO51" s="21" t="n">
        <v>0</v>
      </c>
      <c r="AP51" s="21" t="n">
        <v>100</v>
      </c>
      <c r="AQ51" s="21" t="n">
        <v>35435</v>
      </c>
      <c r="AR51" s="21" t="n">
        <v>0</v>
      </c>
      <c r="AS51" s="22" t="n">
        <v>0</v>
      </c>
      <c r="AU51" s="22" t="n">
        <v>2</v>
      </c>
      <c r="AV51" s="1" t="s">
        <v>717</v>
      </c>
      <c r="AW51" s="22" t="n">
        <v>0</v>
      </c>
      <c r="AY51" s="21" t="n">
        <v>23</v>
      </c>
      <c r="AZ51" s="21" t="n">
        <v>25</v>
      </c>
      <c r="BA51" s="21" t="n">
        <v>48</v>
      </c>
      <c r="BB51" s="1" t="s">
        <v>718</v>
      </c>
      <c r="BC51" s="22" t="n">
        <v>3</v>
      </c>
      <c r="BD51" s="1" t="s">
        <v>719</v>
      </c>
      <c r="BE51" s="22" t="n">
        <v>5</v>
      </c>
      <c r="BG51" s="22"/>
      <c r="BH51" s="21" t="n">
        <v>1513.53</v>
      </c>
      <c r="BI51" s="21" t="n">
        <v>949.24</v>
      </c>
      <c r="BJ51" s="25" t="s">
        <v>720</v>
      </c>
    </row>
    <row r="52" s="1" customFormat="true" ht="14.25" hidden="true" customHeight="false" outlineLevel="0" collapsed="false">
      <c r="A52" s="1" t="s">
        <v>721</v>
      </c>
      <c r="B52" s="1" t="s">
        <v>722</v>
      </c>
      <c r="C52" s="1" t="s">
        <v>59</v>
      </c>
      <c r="D52" s="1" t="s">
        <v>60</v>
      </c>
      <c r="E52" s="1" t="s">
        <v>723</v>
      </c>
      <c r="F52" s="1" t="s">
        <v>724</v>
      </c>
      <c r="G52" s="2" t="s">
        <v>725</v>
      </c>
      <c r="H52" s="1" t="s">
        <v>726</v>
      </c>
      <c r="I52" s="1" t="s">
        <v>727</v>
      </c>
      <c r="J52" s="1" t="s">
        <v>728</v>
      </c>
      <c r="K52" s="1" t="s">
        <v>729</v>
      </c>
      <c r="L52" s="1" t="s">
        <v>730</v>
      </c>
      <c r="M52" s="2" t="n">
        <v>1</v>
      </c>
      <c r="U52" s="1" t="n">
        <v>2</v>
      </c>
      <c r="V52" s="1" t="n">
        <v>0</v>
      </c>
      <c r="W52" s="1" t="n">
        <v>0</v>
      </c>
      <c r="X52" s="1" t="n">
        <v>1</v>
      </c>
      <c r="Y52" s="1" t="n">
        <v>3</v>
      </c>
      <c r="Z52" s="3" t="n">
        <v>77</v>
      </c>
      <c r="AA52" s="1" t="n">
        <v>2</v>
      </c>
      <c r="AB52" s="1" t="n">
        <v>54</v>
      </c>
      <c r="AC52" s="1" t="n">
        <v>2</v>
      </c>
      <c r="AD52" s="1" t="n">
        <v>59</v>
      </c>
      <c r="AE52" s="1" t="n">
        <v>2</v>
      </c>
      <c r="AF52" s="1" t="n">
        <v>62</v>
      </c>
      <c r="AG52" s="1" t="n">
        <v>2</v>
      </c>
      <c r="AH52" s="1" t="n">
        <v>62</v>
      </c>
      <c r="AI52" s="1" t="n">
        <v>1</v>
      </c>
      <c r="AJ52" s="1" t="n">
        <v>11</v>
      </c>
      <c r="AK52" s="1" t="n">
        <v>12</v>
      </c>
      <c r="AL52" s="4" t="n">
        <v>325</v>
      </c>
      <c r="AM52" s="5" t="n">
        <v>873430</v>
      </c>
      <c r="AN52" s="5" t="n">
        <v>287101</v>
      </c>
      <c r="AO52" s="5" t="n">
        <v>0</v>
      </c>
      <c r="AP52" s="5" t="n">
        <v>0</v>
      </c>
      <c r="AQ52" s="5" t="n">
        <v>21985</v>
      </c>
      <c r="AR52" s="5" t="n">
        <v>2656</v>
      </c>
      <c r="AS52" s="6"/>
      <c r="AU52" s="6"/>
      <c r="AW52" s="6"/>
      <c r="AY52" s="5" t="n">
        <v>23.5</v>
      </c>
      <c r="AZ52" s="5" t="n">
        <v>22.5</v>
      </c>
      <c r="BA52" s="5" t="n">
        <v>46</v>
      </c>
      <c r="BB52" s="1" t="s">
        <v>115</v>
      </c>
      <c r="BC52" s="6" t="n">
        <v>46</v>
      </c>
      <c r="BD52" s="1" t="s">
        <v>731</v>
      </c>
      <c r="BE52" s="6" t="n">
        <v>24</v>
      </c>
      <c r="BG52" s="6"/>
      <c r="BH52" s="5" t="n">
        <v>1341</v>
      </c>
      <c r="BI52" s="5" t="n">
        <v>827</v>
      </c>
      <c r="BJ52" s="7" t="s">
        <v>186</v>
      </c>
    </row>
    <row r="53" s="1" customFormat="true" ht="14.25" hidden="true" customHeight="false" outlineLevel="0" collapsed="false">
      <c r="A53" s="1" t="s">
        <v>732</v>
      </c>
      <c r="B53" s="1" t="s">
        <v>733</v>
      </c>
      <c r="C53" s="1" t="s">
        <v>59</v>
      </c>
      <c r="D53" s="1" t="s">
        <v>60</v>
      </c>
      <c r="E53" s="1" t="s">
        <v>723</v>
      </c>
      <c r="F53" s="1" t="s">
        <v>734</v>
      </c>
      <c r="G53" s="2" t="s">
        <v>735</v>
      </c>
      <c r="H53" s="1" t="s">
        <v>736</v>
      </c>
      <c r="I53" s="1" t="s">
        <v>737</v>
      </c>
      <c r="J53" s="1" t="s">
        <v>738</v>
      </c>
      <c r="K53" s="1" t="s">
        <v>739</v>
      </c>
      <c r="L53" s="1" t="s">
        <v>740</v>
      </c>
      <c r="M53" s="2" t="n">
        <v>2</v>
      </c>
      <c r="N53" s="1" t="s">
        <v>741</v>
      </c>
      <c r="U53" s="1" t="n">
        <v>1</v>
      </c>
      <c r="V53" s="1" t="n">
        <v>0</v>
      </c>
      <c r="W53" s="1" t="n">
        <v>3</v>
      </c>
      <c r="X53" s="1" t="n">
        <v>0</v>
      </c>
      <c r="Y53" s="1" t="n">
        <v>1</v>
      </c>
      <c r="Z53" s="3" t="n">
        <v>26</v>
      </c>
      <c r="AA53" s="1" t="n">
        <v>3</v>
      </c>
      <c r="AB53" s="1" t="n">
        <v>75</v>
      </c>
      <c r="AC53" s="1" t="n">
        <v>3</v>
      </c>
      <c r="AD53" s="1" t="n">
        <v>82</v>
      </c>
      <c r="AE53" s="1" t="n">
        <v>2</v>
      </c>
      <c r="AF53" s="1" t="n">
        <v>54</v>
      </c>
      <c r="AG53" s="1" t="n">
        <v>2</v>
      </c>
      <c r="AH53" s="1" t="n">
        <v>51</v>
      </c>
      <c r="AI53" s="1" t="n">
        <v>0</v>
      </c>
      <c r="AJ53" s="1" t="n">
        <v>0</v>
      </c>
      <c r="AK53" s="1" t="n">
        <v>11</v>
      </c>
      <c r="AL53" s="4" t="n">
        <v>288</v>
      </c>
      <c r="AM53" s="5" t="n">
        <v>808090</v>
      </c>
      <c r="AN53" s="5" t="n">
        <v>221039</v>
      </c>
      <c r="AO53" s="5" t="n">
        <v>0</v>
      </c>
      <c r="AP53" s="5" t="n">
        <v>0</v>
      </c>
      <c r="AQ53" s="5" t="n">
        <v>15813</v>
      </c>
      <c r="AR53" s="5" t="n">
        <v>71</v>
      </c>
      <c r="AS53" s="6" t="n">
        <v>0</v>
      </c>
      <c r="AU53" s="6" t="n">
        <v>0</v>
      </c>
      <c r="AW53" s="6" t="n">
        <v>0</v>
      </c>
      <c r="AY53" s="5" t="n">
        <v>22.5</v>
      </c>
      <c r="AZ53" s="5" t="n">
        <v>23</v>
      </c>
      <c r="BA53" s="5" t="n">
        <v>45.5</v>
      </c>
      <c r="BB53" s="1" t="s">
        <v>742</v>
      </c>
      <c r="BC53" s="6" t="n">
        <v>15</v>
      </c>
      <c r="BD53" s="1" t="s">
        <v>743</v>
      </c>
      <c r="BE53" s="6" t="n">
        <v>4</v>
      </c>
      <c r="BG53" s="6"/>
      <c r="BH53" s="5" t="n">
        <v>1242</v>
      </c>
      <c r="BI53" s="5" t="n">
        <v>687.8</v>
      </c>
      <c r="BJ53" s="7" t="s">
        <v>231</v>
      </c>
    </row>
    <row r="54" s="1" customFormat="true" ht="14.25" hidden="true" customHeight="false" outlineLevel="0" collapsed="false">
      <c r="A54" s="1" t="s">
        <v>744</v>
      </c>
      <c r="B54" s="1" t="s">
        <v>745</v>
      </c>
      <c r="C54" s="1" t="s">
        <v>59</v>
      </c>
      <c r="D54" s="1" t="s">
        <v>60</v>
      </c>
      <c r="E54" s="1" t="s">
        <v>638</v>
      </c>
      <c r="F54" s="1" t="s">
        <v>746</v>
      </c>
      <c r="G54" s="2" t="s">
        <v>747</v>
      </c>
      <c r="H54" s="1" t="s">
        <v>748</v>
      </c>
      <c r="I54" s="1" t="s">
        <v>749</v>
      </c>
      <c r="J54" s="1" t="s">
        <v>750</v>
      </c>
      <c r="K54" s="1" t="s">
        <v>751</v>
      </c>
      <c r="L54" s="1" t="s">
        <v>752</v>
      </c>
      <c r="M54" s="2" t="n">
        <v>1</v>
      </c>
      <c r="U54" s="1" t="n">
        <v>1</v>
      </c>
      <c r="V54" s="1" t="n">
        <v>0</v>
      </c>
      <c r="W54" s="1" t="n">
        <v>0</v>
      </c>
      <c r="X54" s="1" t="n">
        <v>0</v>
      </c>
      <c r="Y54" s="1" t="n">
        <v>2</v>
      </c>
      <c r="Z54" s="3" t="n">
        <v>47</v>
      </c>
      <c r="AA54" s="1" t="n">
        <v>1</v>
      </c>
      <c r="AB54" s="1" t="n">
        <v>27</v>
      </c>
      <c r="AC54" s="1" t="n">
        <v>1</v>
      </c>
      <c r="AD54" s="1" t="n">
        <v>27</v>
      </c>
      <c r="AE54" s="1" t="n">
        <v>1</v>
      </c>
      <c r="AF54" s="1" t="n">
        <v>30</v>
      </c>
      <c r="AG54" s="1" t="n">
        <v>1</v>
      </c>
      <c r="AH54" s="1" t="n">
        <v>29</v>
      </c>
      <c r="AI54" s="1" t="n">
        <v>0</v>
      </c>
      <c r="AJ54" s="1" t="n">
        <v>0</v>
      </c>
      <c r="AK54" s="1" t="n">
        <v>6</v>
      </c>
      <c r="AL54" s="4" t="n">
        <v>160</v>
      </c>
      <c r="AM54" s="5" t="n">
        <v>397523</v>
      </c>
      <c r="AN54" s="5" t="n">
        <v>120924</v>
      </c>
      <c r="AO54" s="5" t="n">
        <v>0</v>
      </c>
      <c r="AP54" s="5" t="n">
        <v>0</v>
      </c>
      <c r="AQ54" s="5" t="n">
        <v>4065</v>
      </c>
      <c r="AR54" s="5" t="n">
        <v>0</v>
      </c>
      <c r="AS54" s="6" t="n">
        <v>0</v>
      </c>
      <c r="AU54" s="6" t="n">
        <v>0</v>
      </c>
      <c r="AW54" s="6" t="n">
        <v>0</v>
      </c>
      <c r="AY54" s="5" t="n">
        <v>10</v>
      </c>
      <c r="AZ54" s="5" t="n">
        <v>14.5</v>
      </c>
      <c r="BA54" s="5" t="n">
        <v>24.5</v>
      </c>
      <c r="BB54" s="1" t="s">
        <v>753</v>
      </c>
      <c r="BC54" s="6" t="n">
        <v>9</v>
      </c>
      <c r="BD54" s="1" t="s">
        <v>754</v>
      </c>
      <c r="BE54" s="6" t="n">
        <v>15</v>
      </c>
      <c r="BG54" s="6"/>
      <c r="BH54" s="5" t="n">
        <v>1379</v>
      </c>
      <c r="BI54" s="5" t="n">
        <v>746</v>
      </c>
      <c r="BJ54" s="7" t="s">
        <v>268</v>
      </c>
    </row>
    <row r="55" s="1" customFormat="true" ht="14.25" hidden="true" customHeight="false" outlineLevel="0" collapsed="false">
      <c r="A55" s="1" t="s">
        <v>755</v>
      </c>
      <c r="B55" s="1" t="s">
        <v>756</v>
      </c>
      <c r="C55" s="1" t="s">
        <v>59</v>
      </c>
      <c r="D55" s="1" t="s">
        <v>60</v>
      </c>
      <c r="E55" s="1" t="s">
        <v>757</v>
      </c>
      <c r="F55" s="1" t="s">
        <v>758</v>
      </c>
      <c r="G55" s="2" t="s">
        <v>759</v>
      </c>
      <c r="H55" s="1" t="s">
        <v>760</v>
      </c>
      <c r="I55" s="1" t="s">
        <v>761</v>
      </c>
      <c r="J55" s="1" t="s">
        <v>762</v>
      </c>
      <c r="K55" s="1" t="s">
        <v>763</v>
      </c>
      <c r="L55" s="1" t="s">
        <v>764</v>
      </c>
      <c r="M55" s="2" t="n">
        <v>1</v>
      </c>
      <c r="N55" s="1" t="s">
        <v>765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2</v>
      </c>
      <c r="Z55" s="3" t="n">
        <v>51</v>
      </c>
      <c r="AA55" s="1" t="n">
        <v>1</v>
      </c>
      <c r="AB55" s="1" t="n">
        <v>29</v>
      </c>
      <c r="AC55" s="1" t="n">
        <v>1</v>
      </c>
      <c r="AD55" s="1" t="n">
        <v>37</v>
      </c>
      <c r="AE55" s="1" t="n">
        <v>1</v>
      </c>
      <c r="AF55" s="1" t="n">
        <v>30</v>
      </c>
      <c r="AG55" s="1" t="n">
        <v>1</v>
      </c>
      <c r="AH55" s="1" t="n">
        <v>29</v>
      </c>
      <c r="AI55" s="1" t="n">
        <v>0</v>
      </c>
      <c r="AJ55" s="1" t="n">
        <v>0</v>
      </c>
      <c r="AK55" s="1" t="n">
        <v>6</v>
      </c>
      <c r="AL55" s="4" t="n">
        <v>176</v>
      </c>
      <c r="AM55" s="5" t="n">
        <v>455962</v>
      </c>
      <c r="AN55" s="5" t="n">
        <v>128960</v>
      </c>
      <c r="AO55" s="5" t="n">
        <v>0</v>
      </c>
      <c r="AP55" s="5" t="n">
        <v>7605</v>
      </c>
      <c r="AQ55" s="5" t="n">
        <v>7605</v>
      </c>
      <c r="AR55" s="5" t="n">
        <v>0</v>
      </c>
      <c r="AS55" s="6" t="n">
        <v>1</v>
      </c>
      <c r="AT55" s="1" t="s">
        <v>766</v>
      </c>
      <c r="AU55" s="6" t="n">
        <v>0</v>
      </c>
      <c r="AW55" s="6" t="n">
        <v>0</v>
      </c>
      <c r="AY55" s="5" t="n">
        <v>10</v>
      </c>
      <c r="AZ55" s="5" t="n">
        <v>14.5</v>
      </c>
      <c r="BA55" s="5" t="n">
        <v>24.5</v>
      </c>
      <c r="BB55" s="1" t="s">
        <v>420</v>
      </c>
      <c r="BC55" s="6" t="n">
        <v>20</v>
      </c>
      <c r="BD55" s="1" t="s">
        <v>767</v>
      </c>
      <c r="BE55" s="6" t="n">
        <v>0</v>
      </c>
      <c r="BG55" s="6"/>
      <c r="BH55" s="5" t="n">
        <v>1393.68</v>
      </c>
      <c r="BI55" s="5" t="n">
        <v>864.58</v>
      </c>
      <c r="BJ55" s="26" t="n">
        <v>43775</v>
      </c>
    </row>
    <row r="56" s="1" customFormat="true" ht="14.25" hidden="true" customHeight="false" outlineLevel="0" collapsed="false">
      <c r="A56" s="1" t="s">
        <v>768</v>
      </c>
      <c r="B56" s="1" t="s">
        <v>769</v>
      </c>
      <c r="C56" s="1" t="s">
        <v>59</v>
      </c>
      <c r="D56" s="1" t="s">
        <v>60</v>
      </c>
      <c r="E56" s="1" t="s">
        <v>355</v>
      </c>
      <c r="F56" s="1" t="s">
        <v>770</v>
      </c>
      <c r="G56" s="2" t="s">
        <v>771</v>
      </c>
      <c r="H56" s="1" t="s">
        <v>772</v>
      </c>
      <c r="I56" s="1" t="s">
        <v>773</v>
      </c>
      <c r="J56" s="1" t="s">
        <v>774</v>
      </c>
      <c r="K56" s="1" t="s">
        <v>775</v>
      </c>
      <c r="L56" s="1" t="s">
        <v>776</v>
      </c>
      <c r="M56" s="2" t="n">
        <v>1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2</v>
      </c>
      <c r="Z56" s="3" t="n">
        <v>43</v>
      </c>
      <c r="AA56" s="1" t="n">
        <v>1</v>
      </c>
      <c r="AB56" s="1" t="n">
        <v>27</v>
      </c>
      <c r="AC56" s="1" t="n">
        <v>1</v>
      </c>
      <c r="AD56" s="1" t="n">
        <v>31</v>
      </c>
      <c r="AE56" s="1" t="n">
        <v>1</v>
      </c>
      <c r="AF56" s="1" t="n">
        <v>28</v>
      </c>
      <c r="AG56" s="1" t="n">
        <v>2</v>
      </c>
      <c r="AH56" s="1" t="n">
        <v>48</v>
      </c>
      <c r="AI56" s="1" t="n">
        <v>0</v>
      </c>
      <c r="AJ56" s="1" t="n">
        <v>0</v>
      </c>
      <c r="AK56" s="1" t="n">
        <v>7</v>
      </c>
      <c r="AL56" s="4" t="n">
        <v>177</v>
      </c>
      <c r="AM56" s="5" t="n">
        <v>446812</v>
      </c>
      <c r="AN56" s="5" t="n">
        <v>127610</v>
      </c>
      <c r="AO56" s="5" t="n">
        <v>0</v>
      </c>
      <c r="AP56" s="5" t="n">
        <v>0</v>
      </c>
      <c r="AQ56" s="5" t="n">
        <v>6393</v>
      </c>
      <c r="AR56" s="5" t="n">
        <v>0</v>
      </c>
      <c r="AS56" s="6" t="n">
        <v>0</v>
      </c>
      <c r="AU56" s="6" t="n">
        <v>0</v>
      </c>
      <c r="AW56" s="6" t="n">
        <v>0</v>
      </c>
      <c r="AY56" s="5" t="n">
        <v>12.5</v>
      </c>
      <c r="AZ56" s="5" t="n">
        <v>16</v>
      </c>
      <c r="BA56" s="5" t="n">
        <v>28.5</v>
      </c>
      <c r="BB56" s="1" t="s">
        <v>777</v>
      </c>
      <c r="BC56" s="6" t="n">
        <v>3</v>
      </c>
      <c r="BD56" s="1" t="s">
        <v>778</v>
      </c>
      <c r="BE56" s="6" t="n">
        <v>1</v>
      </c>
      <c r="BF56" s="1" t="s">
        <v>779</v>
      </c>
      <c r="BG56" s="6" t="n">
        <v>12</v>
      </c>
      <c r="BH56" s="5" t="n">
        <v>1326</v>
      </c>
      <c r="BI56" s="5" t="n">
        <v>781</v>
      </c>
      <c r="BJ56" s="26" t="n">
        <v>43782</v>
      </c>
    </row>
    <row r="57" s="1" customFormat="true" ht="14.25" hidden="true" customHeight="false" outlineLevel="0" collapsed="false">
      <c r="A57" s="1" t="s">
        <v>780</v>
      </c>
      <c r="B57" s="1" t="s">
        <v>781</v>
      </c>
      <c r="C57" s="1" t="s">
        <v>59</v>
      </c>
      <c r="D57" s="1" t="s">
        <v>60</v>
      </c>
      <c r="E57" s="1" t="s">
        <v>204</v>
      </c>
      <c r="F57" s="1" t="s">
        <v>782</v>
      </c>
      <c r="G57" s="2" t="s">
        <v>783</v>
      </c>
      <c r="H57" s="1" t="s">
        <v>784</v>
      </c>
      <c r="I57" s="1" t="s">
        <v>785</v>
      </c>
      <c r="J57" s="1" t="s">
        <v>786</v>
      </c>
      <c r="K57" s="1" t="s">
        <v>787</v>
      </c>
      <c r="L57" s="1" t="s">
        <v>788</v>
      </c>
      <c r="M57" s="2" t="n">
        <v>1</v>
      </c>
      <c r="N57" s="1" t="s">
        <v>782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2</v>
      </c>
      <c r="Z57" s="3" t="n">
        <v>54</v>
      </c>
      <c r="AA57" s="1" t="n">
        <v>2</v>
      </c>
      <c r="AB57" s="1" t="n">
        <v>50</v>
      </c>
      <c r="AC57" s="1" t="n">
        <v>2</v>
      </c>
      <c r="AD57" s="1" t="n">
        <v>56</v>
      </c>
      <c r="AE57" s="1" t="n">
        <v>2</v>
      </c>
      <c r="AF57" s="1" t="n">
        <v>59</v>
      </c>
      <c r="AG57" s="1" t="n">
        <v>2</v>
      </c>
      <c r="AH57" s="1" t="n">
        <v>51</v>
      </c>
      <c r="AI57" s="1" t="n">
        <v>0</v>
      </c>
      <c r="AJ57" s="1" t="n">
        <v>0</v>
      </c>
      <c r="AK57" s="1" t="n">
        <v>10</v>
      </c>
      <c r="AL57" s="4" t="n">
        <v>270</v>
      </c>
      <c r="AM57" s="5" t="n">
        <v>702566</v>
      </c>
      <c r="AN57" s="5" t="n">
        <v>221189</v>
      </c>
      <c r="AO57" s="5" t="n">
        <v>8000</v>
      </c>
      <c r="AP57" s="5" t="n">
        <v>0</v>
      </c>
      <c r="AQ57" s="5" t="n">
        <v>13781</v>
      </c>
      <c r="AR57" s="5" t="n">
        <v>0</v>
      </c>
      <c r="AS57" s="6" t="n">
        <v>1</v>
      </c>
      <c r="AT57" s="1" t="s">
        <v>789</v>
      </c>
      <c r="AU57" s="6" t="n">
        <v>1</v>
      </c>
      <c r="AV57" s="1" t="s">
        <v>790</v>
      </c>
      <c r="AW57" s="6" t="n">
        <v>0</v>
      </c>
      <c r="AY57" s="5" t="n">
        <v>19.5</v>
      </c>
      <c r="AZ57" s="5" t="n">
        <v>22.25</v>
      </c>
      <c r="BA57" s="5" t="n">
        <v>41.75</v>
      </c>
      <c r="BB57" s="1" t="s">
        <v>791</v>
      </c>
      <c r="BC57" s="6" t="n">
        <v>16</v>
      </c>
      <c r="BD57" s="1" t="s">
        <v>792</v>
      </c>
      <c r="BE57" s="6" t="n">
        <v>2</v>
      </c>
      <c r="BF57" s="1" t="s">
        <v>793</v>
      </c>
      <c r="BG57" s="6" t="n">
        <v>16</v>
      </c>
      <c r="BH57" s="5" t="n">
        <v>1244.49</v>
      </c>
      <c r="BI57" s="5" t="n">
        <v>869.56</v>
      </c>
      <c r="BJ57" s="7" t="s">
        <v>186</v>
      </c>
    </row>
    <row r="58" s="1" customFormat="true" ht="14.25" hidden="true" customHeight="false" outlineLevel="0" collapsed="false">
      <c r="A58" s="1" t="s">
        <v>794</v>
      </c>
      <c r="B58" s="1" t="s">
        <v>795</v>
      </c>
      <c r="C58" s="1" t="s">
        <v>59</v>
      </c>
      <c r="D58" s="1" t="s">
        <v>60</v>
      </c>
      <c r="E58" s="1" t="s">
        <v>355</v>
      </c>
      <c r="F58" s="1" t="s">
        <v>796</v>
      </c>
      <c r="G58" s="2" t="s">
        <v>797</v>
      </c>
      <c r="H58" s="1" t="s">
        <v>798</v>
      </c>
      <c r="I58" s="1" t="s">
        <v>799</v>
      </c>
      <c r="J58" s="1" t="s">
        <v>800</v>
      </c>
      <c r="K58" s="1" t="s">
        <v>801</v>
      </c>
      <c r="M58" s="2" t="n">
        <v>1</v>
      </c>
      <c r="N58" s="1" t="s">
        <v>796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3" t="n">
        <v>0</v>
      </c>
      <c r="AA58" s="1" t="n">
        <v>2</v>
      </c>
      <c r="AB58" s="1" t="n">
        <v>51</v>
      </c>
      <c r="AC58" s="1" t="n">
        <v>1</v>
      </c>
      <c r="AD58" s="1" t="n">
        <v>27</v>
      </c>
      <c r="AE58" s="1" t="n">
        <v>2</v>
      </c>
      <c r="AF58" s="1" t="n">
        <v>54</v>
      </c>
      <c r="AG58" s="1" t="n">
        <v>2</v>
      </c>
      <c r="AH58" s="1" t="n">
        <v>52</v>
      </c>
      <c r="AI58" s="1" t="n">
        <v>0</v>
      </c>
      <c r="AJ58" s="1" t="n">
        <v>0</v>
      </c>
      <c r="AK58" s="1" t="n">
        <v>7</v>
      </c>
      <c r="AL58" s="4" t="n">
        <v>184</v>
      </c>
      <c r="AM58" s="5" t="n">
        <v>546207</v>
      </c>
      <c r="AN58" s="5" t="n">
        <v>152020</v>
      </c>
      <c r="AO58" s="5" t="n">
        <v>0</v>
      </c>
      <c r="AP58" s="5" t="n">
        <v>676</v>
      </c>
      <c r="AQ58" s="5" t="n">
        <v>9200</v>
      </c>
      <c r="AR58" s="5" t="n">
        <v>0</v>
      </c>
      <c r="AS58" s="6" t="n">
        <v>1</v>
      </c>
      <c r="AT58" s="1" t="s">
        <v>802</v>
      </c>
      <c r="AU58" s="6" t="n">
        <v>0</v>
      </c>
      <c r="AW58" s="6" t="n">
        <v>0</v>
      </c>
      <c r="AY58" s="5" t="n">
        <v>16</v>
      </c>
      <c r="AZ58" s="5" t="n">
        <v>16.5</v>
      </c>
      <c r="BA58" s="5" t="n">
        <v>32.5</v>
      </c>
      <c r="BB58" s="1" t="s">
        <v>803</v>
      </c>
      <c r="BC58" s="6" t="n">
        <v>33</v>
      </c>
      <c r="BD58" s="1" t="s">
        <v>804</v>
      </c>
      <c r="BE58" s="6" t="n">
        <v>20</v>
      </c>
      <c r="BF58" s="1" t="s">
        <v>805</v>
      </c>
      <c r="BG58" s="6" t="n">
        <v>23</v>
      </c>
      <c r="BH58" s="5" t="n">
        <v>1327</v>
      </c>
      <c r="BI58" s="5" t="n">
        <v>737</v>
      </c>
      <c r="BJ58" s="7" t="s">
        <v>186</v>
      </c>
    </row>
    <row r="59" s="1" customFormat="true" ht="14.25" hidden="true" customHeight="false" outlineLevel="0" collapsed="false">
      <c r="A59" s="1" t="s">
        <v>806</v>
      </c>
      <c r="B59" s="1" t="s">
        <v>807</v>
      </c>
      <c r="C59" s="1" t="s">
        <v>59</v>
      </c>
      <c r="D59" s="1" t="s">
        <v>234</v>
      </c>
      <c r="E59" s="1" t="s">
        <v>625</v>
      </c>
      <c r="F59" s="1" t="s">
        <v>808</v>
      </c>
      <c r="G59" s="2" t="s">
        <v>809</v>
      </c>
      <c r="H59" s="1" t="s">
        <v>810</v>
      </c>
      <c r="I59" s="1" t="s">
        <v>811</v>
      </c>
      <c r="J59" s="1" t="s">
        <v>812</v>
      </c>
      <c r="K59" s="1" t="s">
        <v>813</v>
      </c>
      <c r="L59" s="1" t="s">
        <v>814</v>
      </c>
      <c r="M59" s="2" t="n">
        <v>1</v>
      </c>
      <c r="N59" s="1" t="s">
        <v>815</v>
      </c>
      <c r="U59" s="1" t="n">
        <v>1</v>
      </c>
      <c r="V59" s="1" t="n">
        <v>0</v>
      </c>
      <c r="W59" s="1" t="n">
        <v>0</v>
      </c>
      <c r="X59" s="1" t="n">
        <v>1</v>
      </c>
      <c r="Y59" s="1" t="n">
        <v>1</v>
      </c>
      <c r="Z59" s="3" t="n">
        <v>28</v>
      </c>
      <c r="AA59" s="1" t="n">
        <v>1</v>
      </c>
      <c r="AB59" s="1" t="n">
        <v>32</v>
      </c>
      <c r="AC59" s="1" t="n">
        <v>1</v>
      </c>
      <c r="AD59" s="1" t="n">
        <v>29</v>
      </c>
      <c r="AE59" s="1" t="n">
        <v>1</v>
      </c>
      <c r="AF59" s="1" t="n">
        <v>31</v>
      </c>
      <c r="AG59" s="1" t="n">
        <v>1</v>
      </c>
      <c r="AH59" s="1" t="n">
        <v>29</v>
      </c>
      <c r="AI59" s="1" t="n">
        <v>0</v>
      </c>
      <c r="AJ59" s="1" t="n">
        <v>0</v>
      </c>
      <c r="AK59" s="1" t="n">
        <v>5</v>
      </c>
      <c r="AL59" s="4" t="n">
        <v>149</v>
      </c>
      <c r="AM59" s="5" t="n">
        <v>341937</v>
      </c>
      <c r="AN59" s="5" t="n">
        <v>120969</v>
      </c>
      <c r="AO59" s="5" t="n">
        <v>3190</v>
      </c>
      <c r="AP59" s="5" t="n">
        <v>0</v>
      </c>
      <c r="AQ59" s="5" t="n">
        <v>0</v>
      </c>
      <c r="AR59" s="5" t="n">
        <v>0</v>
      </c>
      <c r="AS59" s="6" t="n">
        <v>1</v>
      </c>
      <c r="AT59" s="1" t="s">
        <v>816</v>
      </c>
      <c r="AU59" s="6" t="n">
        <v>0</v>
      </c>
      <c r="AW59" s="6" t="n">
        <v>0</v>
      </c>
      <c r="AY59" s="5" t="n">
        <v>10</v>
      </c>
      <c r="AZ59" s="5" t="n">
        <v>11</v>
      </c>
      <c r="BA59" s="5" t="n">
        <v>21</v>
      </c>
      <c r="BB59" s="1" t="s">
        <v>817</v>
      </c>
      <c r="BC59" s="6" t="n">
        <v>4</v>
      </c>
      <c r="BD59" s="1" t="s">
        <v>818</v>
      </c>
      <c r="BE59" s="6" t="n">
        <v>10</v>
      </c>
      <c r="BF59" s="1" t="s">
        <v>819</v>
      </c>
      <c r="BG59" s="6" t="n">
        <v>9</v>
      </c>
      <c r="BH59" s="5" t="n">
        <v>1133</v>
      </c>
      <c r="BI59" s="5" t="n">
        <v>885</v>
      </c>
      <c r="BJ59" s="7" t="s">
        <v>231</v>
      </c>
    </row>
    <row r="60" s="1" customFormat="true" ht="14.25" hidden="true" customHeight="false" outlineLevel="0" collapsed="false">
      <c r="A60" s="1" t="s">
        <v>820</v>
      </c>
      <c r="B60" s="1" t="s">
        <v>821</v>
      </c>
      <c r="C60" s="1" t="s">
        <v>59</v>
      </c>
      <c r="D60" s="1" t="s">
        <v>60</v>
      </c>
      <c r="E60" s="1" t="s">
        <v>204</v>
      </c>
      <c r="F60" s="1" t="s">
        <v>822</v>
      </c>
      <c r="G60" s="2" t="s">
        <v>823</v>
      </c>
      <c r="H60" s="1" t="s">
        <v>824</v>
      </c>
      <c r="I60" s="1" t="s">
        <v>825</v>
      </c>
      <c r="J60" s="1" t="s">
        <v>826</v>
      </c>
      <c r="K60" s="1" t="s">
        <v>827</v>
      </c>
      <c r="L60" s="1" t="s">
        <v>828</v>
      </c>
      <c r="M60" s="2" t="n">
        <v>2</v>
      </c>
      <c r="N60" s="1" t="s">
        <v>829</v>
      </c>
      <c r="O60" s="1" t="s">
        <v>829</v>
      </c>
      <c r="U60" s="1" t="n">
        <v>0</v>
      </c>
      <c r="V60" s="1" t="n">
        <v>0</v>
      </c>
      <c r="W60" s="1" t="n">
        <v>0</v>
      </c>
      <c r="X60" s="1" t="n">
        <v>1</v>
      </c>
      <c r="Y60" s="1" t="n">
        <v>2</v>
      </c>
      <c r="Z60" s="3" t="n">
        <v>50</v>
      </c>
      <c r="AA60" s="1" t="n">
        <v>2</v>
      </c>
      <c r="AB60" s="1" t="n">
        <v>50</v>
      </c>
      <c r="AC60" s="1" t="n">
        <v>2</v>
      </c>
      <c r="AD60" s="1" t="n">
        <v>56</v>
      </c>
      <c r="AE60" s="1" t="n">
        <v>2</v>
      </c>
      <c r="AF60" s="1" t="n">
        <v>63</v>
      </c>
      <c r="AG60" s="1" t="n">
        <v>2</v>
      </c>
      <c r="AH60" s="1" t="n">
        <v>55</v>
      </c>
      <c r="AI60" s="1" t="n">
        <v>2</v>
      </c>
      <c r="AJ60" s="1" t="n">
        <v>23</v>
      </c>
      <c r="AK60" s="1" t="n">
        <v>12</v>
      </c>
      <c r="AL60" s="4" t="n">
        <v>297</v>
      </c>
      <c r="AM60" s="5" t="n">
        <v>886049</v>
      </c>
      <c r="AN60" s="5" t="n">
        <v>239338</v>
      </c>
      <c r="AO60" s="5" t="n">
        <v>0</v>
      </c>
      <c r="AP60" s="5" t="n">
        <v>24476</v>
      </c>
      <c r="AQ60" s="5" t="n">
        <v>11273</v>
      </c>
      <c r="AR60" s="5" t="n">
        <v>0</v>
      </c>
      <c r="AS60" s="6" t="n">
        <v>0</v>
      </c>
      <c r="AU60" s="6" t="n">
        <v>0</v>
      </c>
      <c r="AW60" s="6" t="n">
        <v>1</v>
      </c>
      <c r="AX60" s="1" t="s">
        <v>830</v>
      </c>
      <c r="AY60" s="5" t="n">
        <v>25.75</v>
      </c>
      <c r="AZ60" s="5" t="n">
        <v>25</v>
      </c>
      <c r="BA60" s="5" t="n">
        <v>50.75</v>
      </c>
      <c r="BB60" s="1" t="s">
        <v>831</v>
      </c>
      <c r="BC60" s="6" t="n">
        <v>1</v>
      </c>
      <c r="BD60" s="1" t="s">
        <v>832</v>
      </c>
      <c r="BE60" s="6" t="n">
        <v>24</v>
      </c>
      <c r="BF60" s="1" t="s">
        <v>833</v>
      </c>
      <c r="BG60" s="6" t="n">
        <v>4</v>
      </c>
      <c r="BH60" s="5" t="n">
        <v>1241</v>
      </c>
      <c r="BI60" s="5" t="n">
        <v>844</v>
      </c>
      <c r="BJ60" s="26" t="n">
        <v>43780</v>
      </c>
    </row>
    <row r="61" s="1" customFormat="true" ht="14.25" hidden="true" customHeight="false" outlineLevel="0" collapsed="false">
      <c r="A61" s="1" t="s">
        <v>834</v>
      </c>
      <c r="B61" s="1" t="s">
        <v>835</v>
      </c>
      <c r="C61" s="1" t="s">
        <v>59</v>
      </c>
      <c r="D61" s="1" t="s">
        <v>60</v>
      </c>
      <c r="E61" s="1" t="s">
        <v>105</v>
      </c>
      <c r="F61" s="1" t="s">
        <v>836</v>
      </c>
      <c r="G61" s="2" t="s">
        <v>837</v>
      </c>
      <c r="H61" s="1" t="s">
        <v>838</v>
      </c>
      <c r="I61" s="1" t="s">
        <v>839</v>
      </c>
      <c r="J61" s="1" t="s">
        <v>840</v>
      </c>
      <c r="K61" s="1" t="s">
        <v>841</v>
      </c>
      <c r="L61" s="1" t="s">
        <v>842</v>
      </c>
      <c r="M61" s="2" t="n">
        <v>1</v>
      </c>
      <c r="U61" s="1" t="n">
        <v>1</v>
      </c>
      <c r="V61" s="1" t="n">
        <v>1</v>
      </c>
      <c r="W61" s="1" t="n">
        <v>1</v>
      </c>
      <c r="X61" s="1" t="n">
        <v>1</v>
      </c>
      <c r="Y61" s="1" t="n">
        <v>1</v>
      </c>
      <c r="Z61" s="3" t="n">
        <v>25</v>
      </c>
      <c r="AA61" s="1" t="n">
        <v>2</v>
      </c>
      <c r="AB61" s="1" t="n">
        <v>50</v>
      </c>
      <c r="AC61" s="1" t="n">
        <v>1</v>
      </c>
      <c r="AD61" s="1" t="n">
        <v>27</v>
      </c>
      <c r="AE61" s="1" t="n">
        <v>1</v>
      </c>
      <c r="AF61" s="1" t="n">
        <v>28</v>
      </c>
      <c r="AG61" s="1" t="n">
        <v>1</v>
      </c>
      <c r="AH61" s="1" t="n">
        <v>21</v>
      </c>
      <c r="AI61" s="1" t="n">
        <v>0</v>
      </c>
      <c r="AJ61" s="1" t="n">
        <v>0</v>
      </c>
      <c r="AK61" s="1" t="n">
        <v>6</v>
      </c>
      <c r="AL61" s="4" t="n">
        <v>151</v>
      </c>
      <c r="AM61" s="5" t="n">
        <v>304.33</v>
      </c>
      <c r="AN61" s="5" t="n">
        <v>76.573</v>
      </c>
      <c r="AO61" s="5" t="n">
        <v>0</v>
      </c>
      <c r="AP61" s="5" t="n">
        <v>0</v>
      </c>
      <c r="AQ61" s="5" t="n">
        <v>0</v>
      </c>
      <c r="AR61" s="5" t="n">
        <v>0</v>
      </c>
      <c r="AS61" s="6" t="n">
        <v>0</v>
      </c>
      <c r="AU61" s="6" t="n">
        <v>0</v>
      </c>
      <c r="AW61" s="6" t="n">
        <v>0</v>
      </c>
      <c r="AY61" s="5" t="n">
        <v>15</v>
      </c>
      <c r="AZ61" s="5" t="n">
        <v>14.5</v>
      </c>
      <c r="BA61" s="5" t="n">
        <v>29.5</v>
      </c>
      <c r="BB61" s="1" t="s">
        <v>843</v>
      </c>
      <c r="BC61" s="6" t="n">
        <v>5</v>
      </c>
      <c r="BD61" s="1" t="s">
        <v>844</v>
      </c>
      <c r="BE61" s="6" t="n">
        <v>5</v>
      </c>
      <c r="BF61" s="1" t="s">
        <v>845</v>
      </c>
      <c r="BG61" s="6" t="n">
        <v>5</v>
      </c>
      <c r="BH61" s="5" t="n">
        <v>1113.18</v>
      </c>
      <c r="BI61" s="5" t="n">
        <v>747.27</v>
      </c>
      <c r="BJ61" s="7" t="s">
        <v>71</v>
      </c>
    </row>
    <row r="62" s="1" customFormat="true" ht="14.25" hidden="true" customHeight="false" outlineLevel="0" collapsed="false">
      <c r="A62" s="1" t="s">
        <v>846</v>
      </c>
      <c r="B62" s="1" t="s">
        <v>847</v>
      </c>
      <c r="C62" s="1" t="s">
        <v>59</v>
      </c>
      <c r="D62" s="1" t="s">
        <v>60</v>
      </c>
      <c r="E62" s="1" t="s">
        <v>848</v>
      </c>
      <c r="F62" s="1" t="s">
        <v>849</v>
      </c>
      <c r="G62" s="2" t="s">
        <v>850</v>
      </c>
      <c r="H62" s="1" t="s">
        <v>851</v>
      </c>
      <c r="I62" s="1" t="s">
        <v>852</v>
      </c>
      <c r="J62" s="1" t="s">
        <v>853</v>
      </c>
      <c r="K62" s="1" t="s">
        <v>854</v>
      </c>
      <c r="L62" s="1" t="s">
        <v>855</v>
      </c>
      <c r="M62" s="2" t="n">
        <v>1</v>
      </c>
      <c r="N62" s="1" t="s">
        <v>856</v>
      </c>
      <c r="U62" s="1" t="n">
        <v>0</v>
      </c>
      <c r="V62" s="1" t="n">
        <v>0</v>
      </c>
      <c r="W62" s="1" t="n">
        <v>1</v>
      </c>
      <c r="X62" s="1" t="n">
        <v>4</v>
      </c>
      <c r="Y62" s="1" t="n">
        <v>3</v>
      </c>
      <c r="Z62" s="3" t="n">
        <v>74</v>
      </c>
      <c r="AA62" s="1" t="n">
        <v>3</v>
      </c>
      <c r="AB62" s="1" t="n">
        <v>75</v>
      </c>
      <c r="AC62" s="1" t="n">
        <v>3</v>
      </c>
      <c r="AD62" s="1" t="n">
        <v>80</v>
      </c>
      <c r="AE62" s="1" t="n">
        <v>2</v>
      </c>
      <c r="AF62" s="1" t="n">
        <v>57</v>
      </c>
      <c r="AG62" s="1" t="n">
        <v>3</v>
      </c>
      <c r="AH62" s="1" t="n">
        <v>71</v>
      </c>
      <c r="AI62" s="1" t="n">
        <v>1</v>
      </c>
      <c r="AJ62" s="1" t="n">
        <v>10</v>
      </c>
      <c r="AK62" s="1" t="n">
        <v>15</v>
      </c>
      <c r="AL62" s="4" t="n">
        <v>367</v>
      </c>
      <c r="AM62" s="5" t="n">
        <v>1021286</v>
      </c>
      <c r="AN62" s="5" t="n">
        <v>278382</v>
      </c>
      <c r="AO62" s="5" t="n">
        <v>0</v>
      </c>
      <c r="AP62" s="5" t="n">
        <v>0</v>
      </c>
      <c r="AQ62" s="5" t="n">
        <v>14182</v>
      </c>
      <c r="AR62" s="5" t="n">
        <v>0</v>
      </c>
      <c r="AS62" s="6" t="n">
        <v>2</v>
      </c>
      <c r="AT62" s="1" t="s">
        <v>857</v>
      </c>
      <c r="AU62" s="6" t="n">
        <v>0</v>
      </c>
      <c r="AW62" s="6" t="n">
        <v>0</v>
      </c>
      <c r="AY62" s="5" t="n">
        <v>26.75</v>
      </c>
      <c r="AZ62" s="5" t="n">
        <v>29</v>
      </c>
      <c r="BA62" s="5" t="n">
        <v>55.75</v>
      </c>
      <c r="BB62" s="1" t="s">
        <v>858</v>
      </c>
      <c r="BC62" s="6" t="n">
        <v>26</v>
      </c>
      <c r="BD62" s="1" t="s">
        <v>859</v>
      </c>
      <c r="BE62" s="6" t="n">
        <v>26</v>
      </c>
      <c r="BF62" s="1" t="s">
        <v>860</v>
      </c>
      <c r="BG62" s="6" t="n">
        <v>28</v>
      </c>
      <c r="BH62" s="5" t="n">
        <v>1285.5</v>
      </c>
      <c r="BI62" s="5" t="n">
        <v>801.95</v>
      </c>
      <c r="BJ62" s="7" t="s">
        <v>231</v>
      </c>
    </row>
    <row r="63" s="1" customFormat="true" ht="14.25" hidden="true" customHeight="false" outlineLevel="0" collapsed="false">
      <c r="A63" s="1" t="s">
        <v>861</v>
      </c>
      <c r="B63" s="1" t="s">
        <v>862</v>
      </c>
      <c r="C63" s="1" t="s">
        <v>59</v>
      </c>
      <c r="D63" s="1" t="s">
        <v>60</v>
      </c>
      <c r="E63" s="1" t="s">
        <v>848</v>
      </c>
      <c r="F63" s="1" t="s">
        <v>863</v>
      </c>
      <c r="G63" s="2" t="s">
        <v>864</v>
      </c>
      <c r="H63" s="1" t="s">
        <v>865</v>
      </c>
      <c r="I63" s="1" t="s">
        <v>866</v>
      </c>
      <c r="J63" s="1" t="s">
        <v>867</v>
      </c>
      <c r="K63" s="1" t="s">
        <v>868</v>
      </c>
      <c r="L63" s="1" t="s">
        <v>869</v>
      </c>
      <c r="M63" s="2" t="n">
        <v>1</v>
      </c>
      <c r="N63" s="1" t="s">
        <v>870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3" t="n">
        <v>0</v>
      </c>
      <c r="AA63" s="1" t="n">
        <v>1</v>
      </c>
      <c r="AB63" s="1" t="n">
        <v>25</v>
      </c>
      <c r="AC63" s="1" t="n">
        <v>1</v>
      </c>
      <c r="AD63" s="1" t="n">
        <v>32</v>
      </c>
      <c r="AE63" s="1" t="n">
        <v>1</v>
      </c>
      <c r="AF63" s="1" t="n">
        <v>39</v>
      </c>
      <c r="AG63" s="1" t="n">
        <v>1</v>
      </c>
      <c r="AH63" s="1" t="n">
        <v>42</v>
      </c>
      <c r="AI63" s="1" t="n">
        <v>0</v>
      </c>
      <c r="AJ63" s="1" t="n">
        <v>0</v>
      </c>
      <c r="AK63" s="1" t="n">
        <v>4</v>
      </c>
      <c r="AL63" s="4" t="n">
        <v>138</v>
      </c>
      <c r="AM63" s="5" t="n">
        <v>420669</v>
      </c>
      <c r="AN63" s="5" t="n">
        <v>122660</v>
      </c>
      <c r="AO63" s="5" t="n">
        <v>16863</v>
      </c>
      <c r="AP63" s="5" t="n">
        <v>0</v>
      </c>
      <c r="AQ63" s="5" t="n">
        <v>0</v>
      </c>
      <c r="AR63" s="5" t="n">
        <v>0</v>
      </c>
      <c r="AS63" s="6" t="n">
        <v>0</v>
      </c>
      <c r="AU63" s="6" t="n">
        <v>2</v>
      </c>
      <c r="AV63" s="1" t="s">
        <v>871</v>
      </c>
      <c r="AW63" s="6" t="n">
        <v>0</v>
      </c>
      <c r="AY63" s="5" t="n">
        <v>10</v>
      </c>
      <c r="AZ63" s="5" t="n">
        <v>10</v>
      </c>
      <c r="BA63" s="5" t="n">
        <v>20</v>
      </c>
      <c r="BB63" s="1" t="s">
        <v>872</v>
      </c>
      <c r="BC63" s="6" t="n">
        <v>12</v>
      </c>
      <c r="BD63" s="1" t="s">
        <v>497</v>
      </c>
      <c r="BE63" s="6" t="n">
        <v>6</v>
      </c>
      <c r="BF63" s="1" t="s">
        <v>873</v>
      </c>
      <c r="BG63" s="6" t="n">
        <v>6</v>
      </c>
      <c r="BH63" s="5" t="n">
        <v>1127.87</v>
      </c>
      <c r="BI63" s="5" t="n">
        <v>786.26</v>
      </c>
      <c r="BJ63" s="7" t="s">
        <v>268</v>
      </c>
    </row>
    <row r="64" s="1" customFormat="true" ht="14.25" hidden="true" customHeight="false" outlineLevel="0" collapsed="false">
      <c r="A64" s="1" t="s">
        <v>874</v>
      </c>
      <c r="B64" s="1" t="s">
        <v>875</v>
      </c>
      <c r="C64" s="1" t="s">
        <v>59</v>
      </c>
      <c r="D64" s="1" t="s">
        <v>60</v>
      </c>
      <c r="E64" s="1" t="s">
        <v>638</v>
      </c>
      <c r="F64" s="1" t="s">
        <v>876</v>
      </c>
      <c r="G64" s="20" t="s">
        <v>877</v>
      </c>
      <c r="H64" s="1" t="s">
        <v>878</v>
      </c>
      <c r="I64" s="1" t="s">
        <v>879</v>
      </c>
      <c r="J64" s="1" t="s">
        <v>880</v>
      </c>
      <c r="K64" s="1" t="s">
        <v>881</v>
      </c>
      <c r="L64" s="1" t="s">
        <v>882</v>
      </c>
      <c r="M64" s="20" t="n">
        <v>1</v>
      </c>
      <c r="U64" s="1" t="n">
        <v>1</v>
      </c>
      <c r="V64" s="1" t="n">
        <v>0</v>
      </c>
      <c r="W64" s="1" t="n">
        <v>0</v>
      </c>
      <c r="X64" s="1" t="n">
        <v>0</v>
      </c>
      <c r="Y64" s="1" t="n">
        <v>2</v>
      </c>
      <c r="Z64" s="3" t="n">
        <v>43</v>
      </c>
      <c r="AA64" s="1" t="n">
        <v>1</v>
      </c>
      <c r="AB64" s="1" t="n">
        <v>24</v>
      </c>
      <c r="AC64" s="1" t="n">
        <v>2</v>
      </c>
      <c r="AD64" s="1" t="n">
        <v>54</v>
      </c>
      <c r="AE64" s="1" t="n">
        <v>2</v>
      </c>
      <c r="AF64" s="1" t="n">
        <v>57</v>
      </c>
      <c r="AG64" s="1" t="n">
        <v>1</v>
      </c>
      <c r="AH64" s="1" t="n">
        <v>32</v>
      </c>
      <c r="AI64" s="1" t="n">
        <v>0</v>
      </c>
      <c r="AJ64" s="1" t="n">
        <v>0</v>
      </c>
      <c r="AK64" s="1" t="n">
        <v>8</v>
      </c>
      <c r="AL64" s="4" t="n">
        <v>210</v>
      </c>
      <c r="AM64" s="21" t="n">
        <v>497691</v>
      </c>
      <c r="AN64" s="21" t="n">
        <v>148634</v>
      </c>
      <c r="AO64" s="21" t="n">
        <v>5145</v>
      </c>
      <c r="AP64" s="21" t="n">
        <v>0</v>
      </c>
      <c r="AQ64" s="21" t="n">
        <v>5268</v>
      </c>
      <c r="AR64" s="21" t="n">
        <v>90</v>
      </c>
      <c r="AS64" s="22" t="n">
        <v>1</v>
      </c>
      <c r="AT64" s="1" t="s">
        <v>883</v>
      </c>
      <c r="AU64" s="22" t="n">
        <v>0</v>
      </c>
      <c r="AW64" s="22" t="n">
        <v>0</v>
      </c>
      <c r="AY64" s="21" t="n">
        <v>14.5</v>
      </c>
      <c r="AZ64" s="21" t="n">
        <v>17</v>
      </c>
      <c r="BA64" s="21" t="n">
        <v>31.5</v>
      </c>
      <c r="BB64" s="1" t="s">
        <v>884</v>
      </c>
      <c r="BC64" s="22" t="n">
        <v>8</v>
      </c>
      <c r="BD64" s="1" t="s">
        <v>885</v>
      </c>
      <c r="BE64" s="22" t="n">
        <v>6</v>
      </c>
      <c r="BF64" s="1" t="s">
        <v>886</v>
      </c>
      <c r="BG64" s="22" t="n">
        <v>16</v>
      </c>
      <c r="BH64" s="21" t="n">
        <v>1174.1</v>
      </c>
      <c r="BI64" s="21" t="n">
        <v>661.71</v>
      </c>
      <c r="BJ64" s="23" t="s">
        <v>71</v>
      </c>
    </row>
    <row r="65" s="1" customFormat="true" ht="14.25" hidden="true" customHeight="false" outlineLevel="0" collapsed="false">
      <c r="A65" s="1" t="s">
        <v>887</v>
      </c>
      <c r="B65" s="1" t="s">
        <v>888</v>
      </c>
      <c r="C65" s="1" t="s">
        <v>59</v>
      </c>
      <c r="D65" s="1" t="s">
        <v>60</v>
      </c>
      <c r="E65" s="1" t="s">
        <v>355</v>
      </c>
      <c r="F65" s="1" t="s">
        <v>889</v>
      </c>
      <c r="G65" s="20" t="s">
        <v>890</v>
      </c>
      <c r="H65" s="1" t="s">
        <v>891</v>
      </c>
      <c r="I65" s="1" t="s">
        <v>892</v>
      </c>
      <c r="J65" s="1" t="s">
        <v>893</v>
      </c>
      <c r="K65" s="1" t="s">
        <v>894</v>
      </c>
      <c r="L65" s="1" t="s">
        <v>895</v>
      </c>
      <c r="M65" s="20" t="n">
        <v>1</v>
      </c>
      <c r="U65" s="1" t="n">
        <v>1</v>
      </c>
      <c r="V65" s="1" t="n">
        <v>0</v>
      </c>
      <c r="W65" s="1" t="n">
        <v>0</v>
      </c>
      <c r="X65" s="1" t="n">
        <v>0</v>
      </c>
      <c r="Y65" s="1" t="n">
        <v>2</v>
      </c>
      <c r="Z65" s="3" t="n">
        <v>50</v>
      </c>
      <c r="AA65" s="1" t="n">
        <v>2</v>
      </c>
      <c r="AB65" s="1" t="n">
        <v>53</v>
      </c>
      <c r="AC65" s="1" t="n">
        <v>2</v>
      </c>
      <c r="AD65" s="1" t="n">
        <v>61</v>
      </c>
      <c r="AE65" s="1" t="n">
        <v>2</v>
      </c>
      <c r="AF65" s="1" t="n">
        <v>61</v>
      </c>
      <c r="AG65" s="1" t="n">
        <v>2</v>
      </c>
      <c r="AH65" s="1" t="n">
        <v>56</v>
      </c>
      <c r="AI65" s="1" t="n">
        <v>0</v>
      </c>
      <c r="AJ65" s="1" t="n">
        <v>0</v>
      </c>
      <c r="AK65" s="1" t="n">
        <v>10</v>
      </c>
      <c r="AL65" s="4" t="n">
        <v>281</v>
      </c>
      <c r="AM65" s="21" t="n">
        <v>723235</v>
      </c>
      <c r="AN65" s="21" t="n">
        <v>154368</v>
      </c>
      <c r="AO65" s="21" t="n">
        <v>0</v>
      </c>
      <c r="AP65" s="21" t="n">
        <v>0</v>
      </c>
      <c r="AQ65" s="21" t="n">
        <v>11096</v>
      </c>
      <c r="AR65" s="21" t="n">
        <v>0</v>
      </c>
      <c r="AS65" s="22" t="n">
        <v>0</v>
      </c>
      <c r="AU65" s="22" t="n">
        <v>0</v>
      </c>
      <c r="AW65" s="22" t="n">
        <v>0</v>
      </c>
      <c r="AY65" s="21" t="n">
        <v>22</v>
      </c>
      <c r="AZ65" s="21" t="n">
        <v>22</v>
      </c>
      <c r="BA65" s="21" t="n">
        <v>44</v>
      </c>
      <c r="BC65" s="22"/>
      <c r="BE65" s="22"/>
      <c r="BG65" s="22"/>
      <c r="BH65" s="21" t="n">
        <v>1152.73</v>
      </c>
      <c r="BI65" s="21" t="n">
        <v>788.04</v>
      </c>
      <c r="BJ65" s="24" t="n">
        <v>43784</v>
      </c>
    </row>
    <row r="66" s="1" customFormat="true" ht="14.25" hidden="true" customHeight="false" outlineLevel="0" collapsed="false">
      <c r="A66" s="1" t="s">
        <v>896</v>
      </c>
      <c r="B66" s="1" t="s">
        <v>897</v>
      </c>
      <c r="C66" s="1" t="s">
        <v>59</v>
      </c>
      <c r="D66" s="1" t="s">
        <v>60</v>
      </c>
      <c r="E66" s="1" t="s">
        <v>848</v>
      </c>
      <c r="F66" s="1" t="s">
        <v>898</v>
      </c>
      <c r="G66" s="20" t="s">
        <v>899</v>
      </c>
      <c r="H66" s="1" t="s">
        <v>900</v>
      </c>
      <c r="I66" s="1" t="s">
        <v>901</v>
      </c>
      <c r="J66" s="1" t="s">
        <v>902</v>
      </c>
      <c r="K66" s="1" t="s">
        <v>903</v>
      </c>
      <c r="L66" s="1" t="s">
        <v>904</v>
      </c>
      <c r="M66" s="20" t="n">
        <v>2</v>
      </c>
      <c r="N66" s="1" t="s">
        <v>905</v>
      </c>
      <c r="O66" s="1" t="s">
        <v>906</v>
      </c>
      <c r="U66" s="1" t="n">
        <v>1</v>
      </c>
      <c r="V66" s="1" t="n">
        <v>0</v>
      </c>
      <c r="W66" s="1" t="n">
        <v>1</v>
      </c>
      <c r="X66" s="1" t="n">
        <v>3</v>
      </c>
      <c r="Y66" s="1" t="n">
        <v>3</v>
      </c>
      <c r="Z66" s="3" t="n">
        <v>70</v>
      </c>
      <c r="AA66" s="1" t="n">
        <v>2</v>
      </c>
      <c r="AB66" s="1" t="n">
        <v>60</v>
      </c>
      <c r="AC66" s="1" t="n">
        <v>3</v>
      </c>
      <c r="AD66" s="1" t="n">
        <v>76</v>
      </c>
      <c r="AE66" s="1" t="n">
        <v>3</v>
      </c>
      <c r="AF66" s="1" t="n">
        <v>107</v>
      </c>
      <c r="AG66" s="1" t="n">
        <v>3</v>
      </c>
      <c r="AH66" s="1" t="n">
        <v>84</v>
      </c>
      <c r="AK66" s="1" t="n">
        <v>14</v>
      </c>
      <c r="AL66" s="4" t="n">
        <v>397</v>
      </c>
      <c r="AM66" s="21" t="n">
        <v>1000000</v>
      </c>
      <c r="AN66" s="21" t="n">
        <v>332422</v>
      </c>
      <c r="AO66" s="21" t="n">
        <v>36378.44</v>
      </c>
      <c r="AP66" s="21" t="n">
        <v>0</v>
      </c>
      <c r="AQ66" s="21" t="n">
        <v>2760</v>
      </c>
      <c r="AR66" s="21" t="n">
        <v>0</v>
      </c>
      <c r="AS66" s="22" t="n">
        <v>2</v>
      </c>
      <c r="AT66" s="1" t="s">
        <v>907</v>
      </c>
      <c r="AU66" s="22" t="n">
        <v>1</v>
      </c>
      <c r="AV66" s="1" t="s">
        <v>908</v>
      </c>
      <c r="AW66" s="22" t="n">
        <v>1</v>
      </c>
      <c r="AX66" s="1" t="s">
        <v>909</v>
      </c>
      <c r="AY66" s="21" t="n">
        <v>29</v>
      </c>
      <c r="AZ66" s="21" t="n">
        <v>29</v>
      </c>
      <c r="BA66" s="21" t="n">
        <v>58</v>
      </c>
      <c r="BB66" s="1" t="s">
        <v>910</v>
      </c>
      <c r="BC66" s="22" t="n">
        <v>15</v>
      </c>
      <c r="BD66" s="1" t="s">
        <v>911</v>
      </c>
      <c r="BE66" s="22" t="n">
        <v>10</v>
      </c>
      <c r="BF66" s="1" t="s">
        <v>912</v>
      </c>
      <c r="BG66" s="22" t="n">
        <v>8</v>
      </c>
      <c r="BH66" s="21" t="n">
        <v>1386.8</v>
      </c>
      <c r="BI66" s="21" t="n">
        <v>752.52</v>
      </c>
      <c r="BJ66" s="24" t="n">
        <v>43777</v>
      </c>
    </row>
    <row r="67" s="1" customFormat="true" ht="14.25" hidden="true" customHeight="false" outlineLevel="0" collapsed="false">
      <c r="A67" s="1" t="s">
        <v>913</v>
      </c>
      <c r="B67" s="1" t="s">
        <v>914</v>
      </c>
      <c r="C67" s="1" t="s">
        <v>59</v>
      </c>
      <c r="D67" s="1" t="s">
        <v>60</v>
      </c>
      <c r="E67" s="1" t="s">
        <v>91</v>
      </c>
      <c r="F67" s="1" t="s">
        <v>915</v>
      </c>
      <c r="G67" s="20" t="s">
        <v>916</v>
      </c>
      <c r="H67" s="1" t="s">
        <v>917</v>
      </c>
      <c r="I67" s="1" t="s">
        <v>918</v>
      </c>
      <c r="J67" s="1" t="s">
        <v>919</v>
      </c>
      <c r="K67" s="1" t="s">
        <v>920</v>
      </c>
      <c r="L67" s="1" t="s">
        <v>921</v>
      </c>
      <c r="M67" s="20" t="n">
        <v>1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1</v>
      </c>
      <c r="Z67" s="3" t="n">
        <v>26</v>
      </c>
      <c r="AA67" s="1" t="n">
        <v>2</v>
      </c>
      <c r="AB67" s="1" t="n">
        <v>55</v>
      </c>
      <c r="AC67" s="1" t="n">
        <v>1</v>
      </c>
      <c r="AD67" s="1" t="n">
        <v>29</v>
      </c>
      <c r="AE67" s="1" t="n">
        <v>1</v>
      </c>
      <c r="AF67" s="1" t="n">
        <v>29</v>
      </c>
      <c r="AG67" s="1" t="n">
        <v>1</v>
      </c>
      <c r="AH67" s="1" t="n">
        <v>33</v>
      </c>
      <c r="AI67" s="1" t="n">
        <v>1</v>
      </c>
      <c r="AJ67" s="1" t="n">
        <v>28</v>
      </c>
      <c r="AK67" s="1" t="n">
        <v>7</v>
      </c>
      <c r="AL67" s="4" t="n">
        <v>200</v>
      </c>
      <c r="AM67" s="21" t="n">
        <v>0</v>
      </c>
      <c r="AN67" s="21" t="n">
        <v>661705</v>
      </c>
      <c r="AO67" s="21" t="n">
        <v>25719.16</v>
      </c>
      <c r="AP67" s="21" t="n">
        <v>0</v>
      </c>
      <c r="AQ67" s="21" t="n">
        <v>0</v>
      </c>
      <c r="AR67" s="21" t="n">
        <v>0</v>
      </c>
      <c r="AS67" s="22" t="n">
        <v>0</v>
      </c>
      <c r="AU67" s="22" t="n">
        <v>0</v>
      </c>
      <c r="AW67" s="22" t="n">
        <v>2</v>
      </c>
      <c r="AX67" s="1" t="s">
        <v>922</v>
      </c>
      <c r="AY67" s="21" t="n">
        <v>14.5</v>
      </c>
      <c r="AZ67" s="21" t="n">
        <v>18.625</v>
      </c>
      <c r="BA67" s="21" t="n">
        <v>33.125</v>
      </c>
      <c r="BB67" s="1" t="s">
        <v>923</v>
      </c>
      <c r="BC67" s="22" t="n">
        <v>1</v>
      </c>
      <c r="BD67" s="1" t="s">
        <v>924</v>
      </c>
      <c r="BE67" s="22" t="n">
        <v>2</v>
      </c>
      <c r="BF67" s="1" t="s">
        <v>925</v>
      </c>
      <c r="BG67" s="22" t="n">
        <v>1</v>
      </c>
      <c r="BH67" s="21" t="n">
        <v>1338</v>
      </c>
      <c r="BI67" s="21" t="n">
        <v>843</v>
      </c>
      <c r="BJ67" s="24" t="n">
        <v>43781</v>
      </c>
    </row>
    <row r="68" s="1" customFormat="true" ht="14.25" hidden="true" customHeight="false" outlineLevel="0" collapsed="false">
      <c r="A68" s="1" t="s">
        <v>926</v>
      </c>
      <c r="B68" s="1" t="s">
        <v>927</v>
      </c>
      <c r="C68" s="1" t="s">
        <v>59</v>
      </c>
      <c r="D68" s="1" t="s">
        <v>60</v>
      </c>
      <c r="E68" s="1" t="s">
        <v>162</v>
      </c>
      <c r="F68" s="1" t="s">
        <v>928</v>
      </c>
      <c r="G68" s="20" t="s">
        <v>929</v>
      </c>
      <c r="H68" s="1" t="s">
        <v>930</v>
      </c>
      <c r="I68" s="1" t="s">
        <v>931</v>
      </c>
      <c r="J68" s="1" t="s">
        <v>932</v>
      </c>
      <c r="K68" s="1" t="s">
        <v>933</v>
      </c>
      <c r="L68" s="1" t="s">
        <v>934</v>
      </c>
      <c r="M68" s="20" t="n">
        <v>2</v>
      </c>
      <c r="N68" s="1" t="s">
        <v>935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3" t="n">
        <v>0</v>
      </c>
      <c r="AA68" s="1" t="n">
        <v>2</v>
      </c>
      <c r="AB68" s="1" t="n">
        <v>49</v>
      </c>
      <c r="AC68" s="1" t="n">
        <v>1</v>
      </c>
      <c r="AD68" s="1" t="n">
        <v>31</v>
      </c>
      <c r="AE68" s="1" t="n">
        <v>1</v>
      </c>
      <c r="AF68" s="1" t="n">
        <v>28</v>
      </c>
      <c r="AG68" s="1" t="n">
        <v>1</v>
      </c>
      <c r="AH68" s="1" t="n">
        <v>29</v>
      </c>
      <c r="AI68" s="1" t="n">
        <v>0</v>
      </c>
      <c r="AJ68" s="1" t="n">
        <v>0</v>
      </c>
      <c r="AK68" s="1" t="n">
        <v>5</v>
      </c>
      <c r="AL68" s="4" t="n">
        <v>137</v>
      </c>
      <c r="AM68" s="21" t="n">
        <v>393501</v>
      </c>
      <c r="AN68" s="21" t="n">
        <v>107448</v>
      </c>
      <c r="AO68" s="21" t="n">
        <v>5000</v>
      </c>
      <c r="AP68" s="21" t="n">
        <v>250</v>
      </c>
      <c r="AQ68" s="21" t="n">
        <v>8180</v>
      </c>
      <c r="AR68" s="21" t="n">
        <v>0</v>
      </c>
      <c r="AS68" s="22" t="n">
        <v>0</v>
      </c>
      <c r="AU68" s="22" t="n">
        <v>1</v>
      </c>
      <c r="AV68" s="1" t="s">
        <v>936</v>
      </c>
      <c r="AW68" s="22" t="n">
        <v>0</v>
      </c>
      <c r="AY68" s="21" t="n">
        <v>12</v>
      </c>
      <c r="AZ68" s="21" t="n">
        <v>11</v>
      </c>
      <c r="BA68" s="21" t="n">
        <v>23</v>
      </c>
      <c r="BB68" s="1" t="s">
        <v>937</v>
      </c>
      <c r="BC68" s="22" t="n">
        <v>3</v>
      </c>
      <c r="BD68" s="1" t="s">
        <v>938</v>
      </c>
      <c r="BE68" s="22" t="n">
        <v>1</v>
      </c>
      <c r="BF68" s="1" t="s">
        <v>939</v>
      </c>
      <c r="BG68" s="22" t="n">
        <v>5</v>
      </c>
      <c r="BH68" s="21" t="n">
        <v>1352</v>
      </c>
      <c r="BI68" s="21" t="n">
        <v>886</v>
      </c>
      <c r="BJ68" s="24" t="n">
        <v>43783</v>
      </c>
    </row>
    <row r="69" s="1" customFormat="true" ht="14.25" hidden="true" customHeight="false" outlineLevel="0" collapsed="false">
      <c r="A69" s="1" t="s">
        <v>940</v>
      </c>
      <c r="B69" s="1" t="s">
        <v>941</v>
      </c>
      <c r="C69" s="1" t="s">
        <v>59</v>
      </c>
      <c r="D69" s="1" t="s">
        <v>60</v>
      </c>
      <c r="E69" s="1" t="s">
        <v>355</v>
      </c>
      <c r="F69" s="1" t="s">
        <v>942</v>
      </c>
      <c r="G69" s="20" t="s">
        <v>943</v>
      </c>
      <c r="H69" s="1" t="s">
        <v>944</v>
      </c>
      <c r="I69" s="1" t="s">
        <v>945</v>
      </c>
      <c r="J69" s="1" t="s">
        <v>946</v>
      </c>
      <c r="K69" s="1" t="s">
        <v>947</v>
      </c>
      <c r="L69" s="1" t="s">
        <v>948</v>
      </c>
      <c r="M69" s="20" t="n">
        <v>1</v>
      </c>
      <c r="U69" s="1" t="n">
        <v>2</v>
      </c>
      <c r="V69" s="1" t="n">
        <v>0</v>
      </c>
      <c r="W69" s="1" t="n">
        <v>0</v>
      </c>
      <c r="X69" s="1" t="n">
        <v>0</v>
      </c>
      <c r="Y69" s="1" t="n">
        <v>2</v>
      </c>
      <c r="Z69" s="3" t="n">
        <v>45</v>
      </c>
      <c r="AA69" s="1" t="n">
        <v>3</v>
      </c>
      <c r="AB69" s="1" t="n">
        <v>73</v>
      </c>
      <c r="AC69" s="1" t="n">
        <v>3</v>
      </c>
      <c r="AD69" s="1" t="n">
        <v>74</v>
      </c>
      <c r="AE69" s="1" t="n">
        <v>3</v>
      </c>
      <c r="AF69" s="1" t="n">
        <v>75</v>
      </c>
      <c r="AG69" s="1" t="n">
        <v>3</v>
      </c>
      <c r="AH69" s="1" t="n">
        <v>79</v>
      </c>
      <c r="AI69" s="1" t="n">
        <v>0</v>
      </c>
      <c r="AJ69" s="1" t="n">
        <v>0</v>
      </c>
      <c r="AK69" s="1" t="n">
        <v>14</v>
      </c>
      <c r="AL69" s="4" t="n">
        <v>346</v>
      </c>
      <c r="AM69" s="21" t="n">
        <v>996068</v>
      </c>
      <c r="AN69" s="21" t="n">
        <v>160075</v>
      </c>
      <c r="AO69" s="21" t="n">
        <v>37420</v>
      </c>
      <c r="AP69" s="21" t="n">
        <v>0</v>
      </c>
      <c r="AQ69" s="21" t="n">
        <v>12407</v>
      </c>
      <c r="AR69" s="21" t="n">
        <v>0</v>
      </c>
      <c r="AS69" s="22" t="n">
        <v>0</v>
      </c>
      <c r="AU69" s="22" t="n">
        <v>1</v>
      </c>
      <c r="AV69" s="1" t="s">
        <v>949</v>
      </c>
      <c r="AW69" s="22" t="n">
        <v>0</v>
      </c>
      <c r="AY69" s="21" t="n">
        <v>37</v>
      </c>
      <c r="AZ69" s="21" t="n">
        <v>31</v>
      </c>
      <c r="BA69" s="21" t="n">
        <v>68</v>
      </c>
      <c r="BB69" s="1" t="s">
        <v>950</v>
      </c>
      <c r="BC69" s="22" t="n">
        <v>34</v>
      </c>
      <c r="BD69" s="1" t="s">
        <v>407</v>
      </c>
      <c r="BE69" s="22" t="n">
        <v>34</v>
      </c>
      <c r="BF69" s="1" t="s">
        <v>951</v>
      </c>
      <c r="BG69" s="22" t="n">
        <v>34</v>
      </c>
      <c r="BH69" s="21" t="n">
        <v>1339.62</v>
      </c>
      <c r="BI69" s="21" t="n">
        <v>843.77</v>
      </c>
      <c r="BJ69" s="23" t="s">
        <v>173</v>
      </c>
    </row>
    <row r="70" s="1" customFormat="true" ht="14.25" hidden="true" customHeight="false" outlineLevel="0" collapsed="false">
      <c r="A70" s="1" t="s">
        <v>952</v>
      </c>
      <c r="B70" s="1" t="s">
        <v>953</v>
      </c>
      <c r="C70" s="1" t="s">
        <v>59</v>
      </c>
      <c r="D70" s="1" t="s">
        <v>60</v>
      </c>
      <c r="E70" s="1" t="s">
        <v>324</v>
      </c>
      <c r="F70" s="1" t="s">
        <v>954</v>
      </c>
      <c r="G70" s="20" t="s">
        <v>955</v>
      </c>
      <c r="H70" s="1" t="s">
        <v>956</v>
      </c>
      <c r="I70" s="1" t="s">
        <v>957</v>
      </c>
      <c r="J70" s="1" t="s">
        <v>958</v>
      </c>
      <c r="K70" s="1" t="s">
        <v>959</v>
      </c>
      <c r="L70" s="1" t="s">
        <v>960</v>
      </c>
      <c r="M70" s="20" t="n">
        <v>1</v>
      </c>
      <c r="N70" s="1" t="s">
        <v>961</v>
      </c>
      <c r="U70" s="1" t="n">
        <v>1</v>
      </c>
      <c r="V70" s="1" t="n">
        <v>1</v>
      </c>
      <c r="W70" s="1" t="n">
        <v>1</v>
      </c>
      <c r="X70" s="1" t="n">
        <v>1</v>
      </c>
      <c r="Y70" s="1" t="n">
        <v>2</v>
      </c>
      <c r="Z70" s="3" t="n">
        <v>46</v>
      </c>
      <c r="AA70" s="1" t="n">
        <v>2</v>
      </c>
      <c r="AB70" s="1" t="n">
        <v>50</v>
      </c>
      <c r="AC70" s="1" t="n">
        <v>2</v>
      </c>
      <c r="AD70" s="1" t="n">
        <v>54</v>
      </c>
      <c r="AE70" s="1" t="n">
        <v>2</v>
      </c>
      <c r="AF70" s="1" t="n">
        <v>63</v>
      </c>
      <c r="AG70" s="1" t="n">
        <v>2</v>
      </c>
      <c r="AH70" s="1" t="n">
        <v>56</v>
      </c>
      <c r="AI70" s="1" t="n">
        <v>0</v>
      </c>
      <c r="AJ70" s="1" t="n">
        <v>0</v>
      </c>
      <c r="AK70" s="1" t="n">
        <v>10</v>
      </c>
      <c r="AL70" s="4" t="n">
        <v>269</v>
      </c>
      <c r="AM70" s="21" t="n">
        <v>664724</v>
      </c>
      <c r="AN70" s="21" t="n">
        <v>197498</v>
      </c>
      <c r="AO70" s="21" t="n">
        <v>0</v>
      </c>
      <c r="AP70" s="21" t="n">
        <v>4900</v>
      </c>
      <c r="AQ70" s="21" t="n">
        <v>8986</v>
      </c>
      <c r="AR70" s="21" t="n">
        <v>151</v>
      </c>
      <c r="AS70" s="22" t="n">
        <v>1</v>
      </c>
      <c r="AT70" s="1" t="s">
        <v>962</v>
      </c>
      <c r="AU70" s="22" t="n">
        <v>1</v>
      </c>
      <c r="AV70" s="1" t="s">
        <v>963</v>
      </c>
      <c r="AW70" s="22" t="n">
        <v>0</v>
      </c>
      <c r="AY70" s="21" t="n">
        <v>18</v>
      </c>
      <c r="AZ70" s="21" t="n">
        <v>22</v>
      </c>
      <c r="BA70" s="21" t="n">
        <v>40</v>
      </c>
      <c r="BB70" s="1" t="s">
        <v>885</v>
      </c>
      <c r="BC70" s="22" t="n">
        <v>18</v>
      </c>
      <c r="BD70" s="1" t="s">
        <v>964</v>
      </c>
      <c r="BE70" s="22" t="n">
        <v>19</v>
      </c>
      <c r="BF70" s="1" t="s">
        <v>965</v>
      </c>
      <c r="BG70" s="22" t="n">
        <v>19</v>
      </c>
      <c r="BH70" s="21" t="n">
        <v>1349.75</v>
      </c>
      <c r="BI70" s="21" t="n">
        <v>774.44</v>
      </c>
      <c r="BJ70" s="23" t="s">
        <v>71</v>
      </c>
    </row>
    <row r="71" s="1" customFormat="true" ht="14.25" hidden="true" customHeight="false" outlineLevel="0" collapsed="false">
      <c r="A71" s="1" t="s">
        <v>966</v>
      </c>
      <c r="B71" s="1" t="s">
        <v>967</v>
      </c>
      <c r="C71" s="1" t="s">
        <v>59</v>
      </c>
      <c r="D71" s="1" t="s">
        <v>60</v>
      </c>
      <c r="E71" s="1" t="s">
        <v>204</v>
      </c>
      <c r="F71" s="1" t="s">
        <v>968</v>
      </c>
      <c r="G71" s="20" t="s">
        <v>969</v>
      </c>
      <c r="H71" s="1" t="s">
        <v>970</v>
      </c>
      <c r="I71" s="1" t="s">
        <v>971</v>
      </c>
      <c r="J71" s="1" t="s">
        <v>972</v>
      </c>
      <c r="K71" s="1" t="s">
        <v>973</v>
      </c>
      <c r="L71" s="1" t="s">
        <v>974</v>
      </c>
      <c r="M71" s="20" t="n">
        <v>1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1</v>
      </c>
      <c r="Z71" s="3" t="n">
        <v>24</v>
      </c>
      <c r="AA71" s="1" t="n">
        <v>2</v>
      </c>
      <c r="AB71" s="1" t="n">
        <v>50</v>
      </c>
      <c r="AC71" s="1" t="n">
        <v>1</v>
      </c>
      <c r="AD71" s="1" t="n">
        <v>28</v>
      </c>
      <c r="AE71" s="1" t="n">
        <v>1</v>
      </c>
      <c r="AF71" s="1" t="n">
        <v>32</v>
      </c>
      <c r="AG71" s="1" t="n">
        <v>1</v>
      </c>
      <c r="AH71" s="1" t="n">
        <v>27</v>
      </c>
      <c r="AI71" s="1" t="n">
        <v>0</v>
      </c>
      <c r="AJ71" s="1" t="n">
        <v>0</v>
      </c>
      <c r="AK71" s="1" t="n">
        <v>6</v>
      </c>
      <c r="AL71" s="4" t="n">
        <v>161</v>
      </c>
      <c r="AM71" s="21" t="n">
        <v>468835</v>
      </c>
      <c r="AN71" s="21" t="n">
        <v>128841</v>
      </c>
      <c r="AO71" s="21" t="n">
        <v>0</v>
      </c>
      <c r="AP71" s="21" t="n">
        <v>0</v>
      </c>
      <c r="AQ71" s="21" t="n">
        <v>6587</v>
      </c>
      <c r="AR71" s="21" t="n">
        <v>0</v>
      </c>
      <c r="AS71" s="22" t="n">
        <v>0</v>
      </c>
      <c r="AU71" s="22" t="n">
        <v>0</v>
      </c>
      <c r="AW71" s="22" t="n">
        <v>1</v>
      </c>
      <c r="AX71" s="1" t="s">
        <v>292</v>
      </c>
      <c r="AY71" s="21" t="n">
        <v>12</v>
      </c>
      <c r="AZ71" s="21" t="n">
        <v>14</v>
      </c>
      <c r="BA71" s="21" t="n">
        <v>26</v>
      </c>
      <c r="BB71" s="1" t="s">
        <v>975</v>
      </c>
      <c r="BC71" s="22" t="n">
        <v>10</v>
      </c>
      <c r="BD71" s="1" t="s">
        <v>976</v>
      </c>
      <c r="BE71" s="22" t="n">
        <v>4</v>
      </c>
      <c r="BF71" s="1" t="s">
        <v>977</v>
      </c>
      <c r="BG71" s="22" t="n">
        <v>10</v>
      </c>
      <c r="BH71" s="21" t="n">
        <v>1253.13</v>
      </c>
      <c r="BI71" s="21" t="n">
        <v>770.24</v>
      </c>
      <c r="BJ71" s="23" t="s">
        <v>173</v>
      </c>
    </row>
    <row r="72" s="1" customFormat="true" ht="14.25" hidden="true" customHeight="false" outlineLevel="0" collapsed="false">
      <c r="A72" s="1" t="s">
        <v>978</v>
      </c>
      <c r="B72" s="1" t="s">
        <v>979</v>
      </c>
      <c r="C72" s="1" t="s">
        <v>59</v>
      </c>
      <c r="D72" s="1" t="s">
        <v>60</v>
      </c>
      <c r="E72" s="1" t="s">
        <v>204</v>
      </c>
      <c r="F72" s="1" t="s">
        <v>980</v>
      </c>
      <c r="G72" s="20" t="s">
        <v>981</v>
      </c>
      <c r="H72" s="1" t="s">
        <v>982</v>
      </c>
      <c r="I72" s="1" t="s">
        <v>983</v>
      </c>
      <c r="J72" s="1" t="s">
        <v>984</v>
      </c>
      <c r="K72" s="1" t="s">
        <v>985</v>
      </c>
      <c r="L72" s="1" t="s">
        <v>986</v>
      </c>
      <c r="M72" s="20" t="n">
        <v>1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1</v>
      </c>
      <c r="Z72" s="3" t="n">
        <v>24</v>
      </c>
      <c r="AA72" s="1" t="n">
        <v>1</v>
      </c>
      <c r="AB72" s="1" t="n">
        <v>28</v>
      </c>
      <c r="AC72" s="1" t="n">
        <v>1</v>
      </c>
      <c r="AD72" s="1" t="n">
        <v>30</v>
      </c>
      <c r="AE72" s="1" t="n">
        <v>1</v>
      </c>
      <c r="AF72" s="1" t="n">
        <v>31</v>
      </c>
      <c r="AG72" s="1" t="n">
        <v>2</v>
      </c>
      <c r="AH72" s="1" t="n">
        <v>53</v>
      </c>
      <c r="AI72" s="1" t="n">
        <v>0</v>
      </c>
      <c r="AJ72" s="1" t="n">
        <v>0</v>
      </c>
      <c r="AK72" s="1" t="n">
        <v>6</v>
      </c>
      <c r="AL72" s="4" t="n">
        <v>166</v>
      </c>
      <c r="AM72" s="21" t="n">
        <v>424899</v>
      </c>
      <c r="AN72" s="21" t="n">
        <v>132972</v>
      </c>
      <c r="AO72" s="21" t="n">
        <v>0</v>
      </c>
      <c r="AP72" s="21" t="n">
        <v>0</v>
      </c>
      <c r="AQ72" s="21" t="n">
        <v>11933</v>
      </c>
      <c r="AR72" s="21" t="n">
        <v>0</v>
      </c>
      <c r="AS72" s="22" t="n">
        <v>0</v>
      </c>
      <c r="AU72" s="22" t="n">
        <v>1</v>
      </c>
      <c r="AV72" s="1" t="s">
        <v>987</v>
      </c>
      <c r="AW72" s="22" t="n">
        <v>1</v>
      </c>
      <c r="AX72" s="1" t="s">
        <v>988</v>
      </c>
      <c r="AY72" s="21" t="n">
        <v>12</v>
      </c>
      <c r="AZ72" s="21" t="n">
        <v>13.5</v>
      </c>
      <c r="BA72" s="21" t="n">
        <v>25.5</v>
      </c>
      <c r="BB72" s="1" t="s">
        <v>989</v>
      </c>
      <c r="BC72" s="22" t="n">
        <v>1</v>
      </c>
      <c r="BD72" s="1" t="s">
        <v>990</v>
      </c>
      <c r="BE72" s="22" t="n">
        <v>1</v>
      </c>
      <c r="BF72" s="1" t="s">
        <v>991</v>
      </c>
      <c r="BG72" s="22" t="n">
        <v>13</v>
      </c>
      <c r="BH72" s="21" t="n">
        <v>1214</v>
      </c>
      <c r="BI72" s="21" t="n">
        <v>796</v>
      </c>
      <c r="BJ72" s="24" t="n">
        <v>43784</v>
      </c>
    </row>
    <row r="73" s="1" customFormat="true" ht="28.35" hidden="false" customHeight="false" outlineLevel="0" collapsed="false">
      <c r="A73" s="1" t="s">
        <v>992</v>
      </c>
      <c r="B73" s="1" t="s">
        <v>993</v>
      </c>
      <c r="C73" s="1" t="s">
        <v>59</v>
      </c>
      <c r="D73" s="1" t="s">
        <v>60</v>
      </c>
      <c r="E73" s="1" t="s">
        <v>189</v>
      </c>
      <c r="F73" s="1" t="s">
        <v>994</v>
      </c>
      <c r="G73" s="20" t="s">
        <v>995</v>
      </c>
      <c r="H73" s="1" t="s">
        <v>996</v>
      </c>
      <c r="I73" s="1" t="s">
        <v>997</v>
      </c>
      <c r="J73" s="1" t="s">
        <v>998</v>
      </c>
      <c r="K73" s="1" t="s">
        <v>999</v>
      </c>
      <c r="L73" s="1" t="s">
        <v>1000</v>
      </c>
      <c r="M73" s="20" t="n">
        <v>1</v>
      </c>
      <c r="U73" s="1" t="n">
        <v>1</v>
      </c>
      <c r="V73" s="1" t="n">
        <v>0</v>
      </c>
      <c r="W73" s="1" t="n">
        <v>1</v>
      </c>
      <c r="X73" s="1" t="n">
        <v>10</v>
      </c>
      <c r="Y73" s="1" t="n">
        <v>1</v>
      </c>
      <c r="Z73" s="3" t="n">
        <v>26</v>
      </c>
      <c r="AA73" s="1" t="n">
        <v>2</v>
      </c>
      <c r="AB73" s="1" t="n">
        <v>56</v>
      </c>
      <c r="AC73" s="1" t="n">
        <v>2</v>
      </c>
      <c r="AD73" s="1" t="n">
        <v>60</v>
      </c>
      <c r="AE73" s="1" t="n">
        <v>2</v>
      </c>
      <c r="AF73" s="1" t="n">
        <v>68</v>
      </c>
      <c r="AG73" s="1" t="n">
        <v>2</v>
      </c>
      <c r="AH73" s="1" t="n">
        <v>52</v>
      </c>
      <c r="AI73" s="1" t="n">
        <v>0</v>
      </c>
      <c r="AJ73" s="1" t="n">
        <v>0</v>
      </c>
      <c r="AK73" s="1" t="n">
        <v>9</v>
      </c>
      <c r="AL73" s="4" t="n">
        <v>262</v>
      </c>
      <c r="AM73" s="21" t="n">
        <v>769848</v>
      </c>
      <c r="AN73" s="21" t="n">
        <v>218527</v>
      </c>
      <c r="AO73" s="21" t="n">
        <v>6622.44</v>
      </c>
      <c r="AP73" s="21" t="n">
        <v>1263</v>
      </c>
      <c r="AQ73" s="21" t="n">
        <v>24327</v>
      </c>
      <c r="AR73" s="21" t="n">
        <v>0</v>
      </c>
      <c r="AS73" s="22" t="n">
        <v>1</v>
      </c>
      <c r="AT73" s="1" t="s">
        <v>1001</v>
      </c>
      <c r="AU73" s="22" t="n">
        <v>0</v>
      </c>
      <c r="AW73" s="22" t="n">
        <v>1</v>
      </c>
      <c r="AX73" s="1" t="s">
        <v>1002</v>
      </c>
      <c r="AY73" s="21" t="n">
        <v>21</v>
      </c>
      <c r="AZ73" s="21" t="n">
        <v>20.25</v>
      </c>
      <c r="BA73" s="21" t="n">
        <v>41.25</v>
      </c>
      <c r="BB73" s="27" t="s">
        <v>1003</v>
      </c>
      <c r="BC73" s="22" t="n">
        <v>20</v>
      </c>
      <c r="BD73" s="1" t="s">
        <v>1004</v>
      </c>
      <c r="BE73" s="22" t="n">
        <v>36</v>
      </c>
      <c r="BF73" s="1" t="s">
        <v>1005</v>
      </c>
      <c r="BG73" s="22" t="n">
        <v>11</v>
      </c>
      <c r="BH73" s="21" t="n">
        <v>1158.59</v>
      </c>
      <c r="BI73" s="21" t="n">
        <v>754.93</v>
      </c>
      <c r="BJ73" s="24" t="n">
        <v>43784</v>
      </c>
    </row>
    <row r="74" s="1" customFormat="true" ht="14.25" hidden="true" customHeight="false" outlineLevel="0" collapsed="false">
      <c r="A74" s="1" t="s">
        <v>1006</v>
      </c>
      <c r="B74" s="1" t="s">
        <v>1007</v>
      </c>
      <c r="C74" s="1" t="s">
        <v>59</v>
      </c>
      <c r="D74" s="1" t="s">
        <v>60</v>
      </c>
      <c r="E74" s="1" t="s">
        <v>355</v>
      </c>
      <c r="F74" s="1" t="s">
        <v>1008</v>
      </c>
      <c r="G74" s="20" t="s">
        <v>1009</v>
      </c>
      <c r="H74" s="1" t="s">
        <v>1010</v>
      </c>
      <c r="I74" s="1" t="s">
        <v>1011</v>
      </c>
      <c r="J74" s="1" t="s">
        <v>1012</v>
      </c>
      <c r="K74" s="1" t="s">
        <v>1013</v>
      </c>
      <c r="L74" s="1" t="s">
        <v>1014</v>
      </c>
      <c r="M74" s="20" t="n">
        <v>1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2</v>
      </c>
      <c r="Z74" s="3" t="n">
        <v>54</v>
      </c>
      <c r="AA74" s="1" t="n">
        <v>2</v>
      </c>
      <c r="AB74" s="1" t="n">
        <v>55</v>
      </c>
      <c r="AC74" s="1" t="n">
        <v>2</v>
      </c>
      <c r="AD74" s="1" t="n">
        <v>62</v>
      </c>
      <c r="AE74" s="1" t="n">
        <v>2</v>
      </c>
      <c r="AF74" s="1" t="n">
        <v>66</v>
      </c>
      <c r="AG74" s="1" t="n">
        <v>2</v>
      </c>
      <c r="AH74" s="1" t="n">
        <v>58</v>
      </c>
      <c r="AI74" s="1" t="n">
        <v>0</v>
      </c>
      <c r="AJ74" s="1" t="n">
        <v>0</v>
      </c>
      <c r="AK74" s="1" t="n">
        <v>10</v>
      </c>
      <c r="AL74" s="4" t="n">
        <v>295</v>
      </c>
      <c r="AM74" s="21" t="n">
        <v>897440</v>
      </c>
      <c r="AN74" s="21" t="n">
        <v>227346</v>
      </c>
      <c r="AO74" s="21" t="n">
        <v>555</v>
      </c>
      <c r="AP74" s="21" t="n">
        <v>0</v>
      </c>
      <c r="AQ74" s="21" t="n">
        <v>6782</v>
      </c>
      <c r="AR74" s="21" t="n">
        <v>0</v>
      </c>
      <c r="AS74" s="22" t="n">
        <v>0</v>
      </c>
      <c r="AU74" s="22" t="n">
        <v>1</v>
      </c>
      <c r="AV74" s="1" t="s">
        <v>1015</v>
      </c>
      <c r="AW74" s="22" t="n">
        <v>0</v>
      </c>
      <c r="AY74" s="21" t="n">
        <v>20</v>
      </c>
      <c r="AZ74" s="21" t="n">
        <v>20</v>
      </c>
      <c r="BA74" s="21" t="n">
        <v>40</v>
      </c>
      <c r="BB74" s="1" t="s">
        <v>1016</v>
      </c>
      <c r="BC74" s="22" t="n">
        <v>16</v>
      </c>
      <c r="BD74" s="1" t="s">
        <v>1017</v>
      </c>
      <c r="BE74" s="22" t="n">
        <v>16</v>
      </c>
      <c r="BG74" s="22"/>
      <c r="BH74" s="21" t="n">
        <v>1197</v>
      </c>
      <c r="BI74" s="21" t="n">
        <v>732</v>
      </c>
      <c r="BJ74" s="24" t="n">
        <v>43784</v>
      </c>
    </row>
    <row r="75" s="1" customFormat="true" ht="14.25" hidden="true" customHeight="false" outlineLevel="0" collapsed="false">
      <c r="A75" s="1" t="s">
        <v>1018</v>
      </c>
      <c r="B75" s="1" t="s">
        <v>1019</v>
      </c>
      <c r="C75" s="1" t="s">
        <v>59</v>
      </c>
      <c r="D75" s="1" t="s">
        <v>234</v>
      </c>
      <c r="E75" s="1" t="s">
        <v>324</v>
      </c>
      <c r="F75" s="1" t="s">
        <v>1020</v>
      </c>
      <c r="G75" s="20" t="s">
        <v>1021</v>
      </c>
      <c r="H75" s="1" t="s">
        <v>1022</v>
      </c>
      <c r="I75" s="1" t="s">
        <v>1023</v>
      </c>
      <c r="J75" s="1" t="s">
        <v>1024</v>
      </c>
      <c r="K75" s="1" t="s">
        <v>1025</v>
      </c>
      <c r="L75" s="1" t="s">
        <v>1026</v>
      </c>
      <c r="M75" s="20" t="n">
        <v>1</v>
      </c>
      <c r="N75" s="1" t="s">
        <v>1027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2</v>
      </c>
      <c r="Z75" s="3" t="n">
        <v>47</v>
      </c>
      <c r="AA75" s="1" t="n">
        <v>2</v>
      </c>
      <c r="AB75" s="1" t="n">
        <v>50</v>
      </c>
      <c r="AC75" s="1" t="n">
        <v>2</v>
      </c>
      <c r="AD75" s="1" t="n">
        <v>56</v>
      </c>
      <c r="AE75" s="1" t="n">
        <v>2</v>
      </c>
      <c r="AF75" s="1" t="n">
        <v>62</v>
      </c>
      <c r="AG75" s="1" t="n">
        <v>2</v>
      </c>
      <c r="AH75" s="1" t="n">
        <v>61</v>
      </c>
      <c r="AI75" s="1" t="n">
        <v>0</v>
      </c>
      <c r="AJ75" s="1" t="n">
        <v>0</v>
      </c>
      <c r="AK75" s="1" t="n">
        <v>10</v>
      </c>
      <c r="AL75" s="4" t="n">
        <v>276</v>
      </c>
      <c r="AM75" s="21" t="n">
        <v>723057</v>
      </c>
      <c r="AN75" s="21" t="n">
        <v>215743</v>
      </c>
      <c r="AO75" s="21" t="n">
        <v>0</v>
      </c>
      <c r="AP75" s="21" t="n">
        <v>8499.44</v>
      </c>
      <c r="AQ75" s="21" t="n">
        <v>14952</v>
      </c>
      <c r="AR75" s="21" t="n">
        <v>0</v>
      </c>
      <c r="AS75" s="22" t="n">
        <v>0</v>
      </c>
      <c r="AU75" s="22" t="n">
        <v>0</v>
      </c>
      <c r="AW75" s="22" t="n">
        <v>0</v>
      </c>
      <c r="AY75" s="21" t="n">
        <v>18</v>
      </c>
      <c r="AZ75" s="21" t="n">
        <v>22</v>
      </c>
      <c r="BA75" s="21" t="n">
        <v>40</v>
      </c>
      <c r="BB75" s="1" t="s">
        <v>1028</v>
      </c>
      <c r="BC75" s="22" t="n">
        <v>16</v>
      </c>
      <c r="BD75" s="1" t="s">
        <v>1029</v>
      </c>
      <c r="BE75" s="22" t="n">
        <v>16</v>
      </c>
      <c r="BG75" s="22"/>
      <c r="BH75" s="21" t="n">
        <v>1363.42</v>
      </c>
      <c r="BI75" s="21" t="n">
        <v>799</v>
      </c>
      <c r="BJ75" s="23" t="s">
        <v>173</v>
      </c>
    </row>
    <row r="76" s="1" customFormat="true" ht="14.25" hidden="true" customHeight="false" outlineLevel="0" collapsed="false">
      <c r="A76" s="1" t="s">
        <v>1030</v>
      </c>
      <c r="B76" s="1" t="s">
        <v>1031</v>
      </c>
      <c r="C76" s="1" t="s">
        <v>59</v>
      </c>
      <c r="D76" s="1" t="s">
        <v>234</v>
      </c>
      <c r="E76" s="1" t="s">
        <v>204</v>
      </c>
      <c r="F76" s="1" t="s">
        <v>1032</v>
      </c>
      <c r="G76" s="20" t="s">
        <v>1033</v>
      </c>
      <c r="H76" s="1" t="s">
        <v>1034</v>
      </c>
      <c r="I76" s="1" t="s">
        <v>1035</v>
      </c>
      <c r="J76" s="1" t="s">
        <v>1036</v>
      </c>
      <c r="K76" s="1" t="s">
        <v>1037</v>
      </c>
      <c r="L76" s="1" t="s">
        <v>1038</v>
      </c>
      <c r="M76" s="20" t="n">
        <v>1</v>
      </c>
      <c r="N76" s="1" t="s">
        <v>1039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2</v>
      </c>
      <c r="Z76" s="3" t="n">
        <v>50</v>
      </c>
      <c r="AA76" s="1" t="n">
        <v>1</v>
      </c>
      <c r="AB76" s="1" t="n">
        <v>31</v>
      </c>
      <c r="AC76" s="1" t="n">
        <v>2</v>
      </c>
      <c r="AD76" s="1" t="n">
        <v>62</v>
      </c>
      <c r="AE76" s="1" t="n">
        <v>2</v>
      </c>
      <c r="AF76" s="1" t="n">
        <v>61</v>
      </c>
      <c r="AG76" s="1" t="n">
        <v>1</v>
      </c>
      <c r="AH76" s="1" t="n">
        <v>33</v>
      </c>
      <c r="AI76" s="1" t="n">
        <v>0</v>
      </c>
      <c r="AJ76" s="1" t="n">
        <v>0</v>
      </c>
      <c r="AK76" s="1" t="n">
        <v>8</v>
      </c>
      <c r="AL76" s="4" t="n">
        <v>237</v>
      </c>
      <c r="AM76" s="21" t="n">
        <v>679358</v>
      </c>
      <c r="AN76" s="21" t="n">
        <v>204045</v>
      </c>
      <c r="AO76" s="21" t="n">
        <v>0</v>
      </c>
      <c r="AP76" s="21" t="n">
        <v>10324</v>
      </c>
      <c r="AQ76" s="21" t="n">
        <v>14327</v>
      </c>
      <c r="AR76" s="21" t="n">
        <v>0</v>
      </c>
      <c r="AS76" s="22" t="n">
        <v>0</v>
      </c>
      <c r="AU76" s="22" t="n">
        <v>0</v>
      </c>
      <c r="AW76" s="22" t="n">
        <v>0</v>
      </c>
      <c r="AY76" s="21" t="n">
        <v>16</v>
      </c>
      <c r="AZ76" s="21" t="n">
        <v>18.63</v>
      </c>
      <c r="BA76" s="21" t="n">
        <v>34.63</v>
      </c>
      <c r="BB76" s="1" t="s">
        <v>1040</v>
      </c>
      <c r="BC76" s="22" t="n">
        <v>17</v>
      </c>
      <c r="BD76" s="1" t="s">
        <v>1041</v>
      </c>
      <c r="BE76" s="22" t="n">
        <v>1</v>
      </c>
      <c r="BG76" s="22"/>
      <c r="BH76" s="21" t="n">
        <v>1358.18</v>
      </c>
      <c r="BI76" s="21" t="n">
        <v>819.53</v>
      </c>
      <c r="BJ76" s="24" t="n">
        <v>43783</v>
      </c>
    </row>
    <row r="77" s="1" customFormat="true" ht="14.25" hidden="true" customHeight="false" outlineLevel="0" collapsed="false">
      <c r="A77" s="1" t="s">
        <v>1042</v>
      </c>
      <c r="B77" s="1" t="s">
        <v>1043</v>
      </c>
      <c r="C77" s="1" t="s">
        <v>59</v>
      </c>
      <c r="D77" s="1" t="s">
        <v>234</v>
      </c>
      <c r="E77" s="1" t="s">
        <v>204</v>
      </c>
      <c r="F77" s="1" t="s">
        <v>1044</v>
      </c>
      <c r="G77" s="20" t="s">
        <v>1045</v>
      </c>
      <c r="H77" s="1" t="s">
        <v>1046</v>
      </c>
      <c r="I77" s="1" t="s">
        <v>1047</v>
      </c>
      <c r="J77" s="1" t="s">
        <v>1048</v>
      </c>
      <c r="K77" s="1" t="s">
        <v>1049</v>
      </c>
      <c r="L77" s="1" t="s">
        <v>1050</v>
      </c>
      <c r="M77" s="20" t="n">
        <v>2</v>
      </c>
      <c r="N77" s="1" t="s">
        <v>1051</v>
      </c>
      <c r="U77" s="1" t="n">
        <v>3</v>
      </c>
      <c r="V77" s="1" t="n">
        <v>0</v>
      </c>
      <c r="W77" s="1" t="n">
        <v>2</v>
      </c>
      <c r="X77" s="1" t="n">
        <v>1</v>
      </c>
      <c r="Y77" s="1" t="n">
        <v>3</v>
      </c>
      <c r="Z77" s="3" t="n">
        <v>72</v>
      </c>
      <c r="AA77" s="1" t="n">
        <v>6</v>
      </c>
      <c r="AB77" s="1" t="n">
        <v>167</v>
      </c>
      <c r="AC77" s="1" t="n">
        <v>4</v>
      </c>
      <c r="AD77" s="1" t="n">
        <v>115</v>
      </c>
      <c r="AE77" s="1" t="n">
        <v>4</v>
      </c>
      <c r="AF77" s="1" t="n">
        <v>107</v>
      </c>
      <c r="AG77" s="1" t="n">
        <v>3</v>
      </c>
      <c r="AH77" s="1" t="n">
        <v>75</v>
      </c>
      <c r="AI77" s="1" t="n">
        <v>0</v>
      </c>
      <c r="AJ77" s="1" t="n">
        <v>0</v>
      </c>
      <c r="AK77" s="1" t="n">
        <v>20</v>
      </c>
      <c r="AL77" s="4" t="n">
        <v>536</v>
      </c>
      <c r="AM77" s="21" t="n">
        <v>1387308</v>
      </c>
      <c r="AN77" s="21" t="n">
        <v>427108</v>
      </c>
      <c r="AO77" s="21" t="n">
        <v>0</v>
      </c>
      <c r="AP77" s="21" t="n">
        <v>205</v>
      </c>
      <c r="AQ77" s="21" t="n">
        <v>23936</v>
      </c>
      <c r="AR77" s="21" t="n">
        <v>0</v>
      </c>
      <c r="AS77" s="22" t="n">
        <v>0</v>
      </c>
      <c r="AU77" s="22" t="n">
        <v>0</v>
      </c>
      <c r="AW77" s="22" t="n">
        <v>0</v>
      </c>
      <c r="AY77" s="21" t="n">
        <v>40.5</v>
      </c>
      <c r="AZ77" s="21" t="n">
        <v>42.5</v>
      </c>
      <c r="BA77" s="21" t="n">
        <v>83</v>
      </c>
      <c r="BB77" s="1" t="s">
        <v>1052</v>
      </c>
      <c r="BC77" s="22" t="n">
        <v>38</v>
      </c>
      <c r="BD77" s="1" t="s">
        <v>1053</v>
      </c>
      <c r="BE77" s="22" t="n">
        <v>60</v>
      </c>
      <c r="BG77" s="22"/>
      <c r="BH77" s="21" t="n">
        <v>1337</v>
      </c>
      <c r="BI77" s="21" t="n">
        <v>800</v>
      </c>
      <c r="BJ77" s="23" t="s">
        <v>101</v>
      </c>
    </row>
    <row r="78" s="1" customFormat="true" ht="14.25" hidden="true" customHeight="false" outlineLevel="0" collapsed="false">
      <c r="A78" s="1" t="s">
        <v>1054</v>
      </c>
      <c r="B78" s="1" t="s">
        <v>1055</v>
      </c>
      <c r="C78" s="1" t="s">
        <v>59</v>
      </c>
      <c r="D78" s="1" t="s">
        <v>60</v>
      </c>
      <c r="E78" s="1" t="s">
        <v>298</v>
      </c>
      <c r="F78" s="1" t="s">
        <v>1056</v>
      </c>
      <c r="G78" s="20" t="s">
        <v>1057</v>
      </c>
      <c r="H78" s="1" t="s">
        <v>1058</v>
      </c>
      <c r="I78" s="1" t="s">
        <v>1059</v>
      </c>
      <c r="J78" s="1" t="s">
        <v>1060</v>
      </c>
      <c r="K78" s="1" t="s">
        <v>1061</v>
      </c>
      <c r="L78" s="1" t="s">
        <v>1062</v>
      </c>
      <c r="M78" s="20" t="n">
        <v>1</v>
      </c>
      <c r="N78" s="1" t="s">
        <v>1063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3" t="n">
        <v>0</v>
      </c>
      <c r="AA78" s="1" t="n">
        <v>1</v>
      </c>
      <c r="AB78" s="1" t="n">
        <v>25</v>
      </c>
      <c r="AC78" s="1" t="n">
        <v>1</v>
      </c>
      <c r="AD78" s="1" t="n">
        <v>29</v>
      </c>
      <c r="AE78" s="1" t="n">
        <v>1</v>
      </c>
      <c r="AF78" s="1" t="n">
        <v>28</v>
      </c>
      <c r="AG78" s="1" t="n">
        <v>1</v>
      </c>
      <c r="AH78" s="1" t="n">
        <v>27</v>
      </c>
      <c r="AI78" s="1" t="n">
        <v>0</v>
      </c>
      <c r="AJ78" s="1" t="n">
        <v>0</v>
      </c>
      <c r="AK78" s="1" t="n">
        <v>4</v>
      </c>
      <c r="AL78" s="4" t="n">
        <v>109</v>
      </c>
      <c r="AM78" s="21" t="n">
        <v>314862</v>
      </c>
      <c r="AN78" s="21" t="n">
        <v>84725</v>
      </c>
      <c r="AO78" s="21" t="n">
        <v>0</v>
      </c>
      <c r="AP78" s="21" t="n">
        <v>0</v>
      </c>
      <c r="AQ78" s="21" t="n">
        <v>8942</v>
      </c>
      <c r="AR78" s="21" t="n">
        <v>0</v>
      </c>
      <c r="AS78" s="22" t="n">
        <v>1</v>
      </c>
      <c r="AT78" s="1" t="s">
        <v>1064</v>
      </c>
      <c r="AU78" s="22" t="n">
        <v>0</v>
      </c>
      <c r="AW78" s="22" t="n">
        <v>0</v>
      </c>
      <c r="AY78" s="21" t="n">
        <v>9</v>
      </c>
      <c r="AZ78" s="21" t="n">
        <v>8</v>
      </c>
      <c r="BA78" s="21" t="n">
        <v>17</v>
      </c>
      <c r="BB78" s="1" t="s">
        <v>1065</v>
      </c>
      <c r="BC78" s="22" t="n">
        <v>3</v>
      </c>
      <c r="BD78" s="1" t="s">
        <v>1066</v>
      </c>
      <c r="BE78" s="22" t="n">
        <v>1</v>
      </c>
      <c r="BF78" s="1" t="s">
        <v>1067</v>
      </c>
      <c r="BG78" s="22" t="n">
        <v>1</v>
      </c>
      <c r="BH78" s="21" t="n">
        <v>1246</v>
      </c>
      <c r="BI78" s="21" t="n">
        <v>809</v>
      </c>
      <c r="BJ78" s="23" t="s">
        <v>173</v>
      </c>
    </row>
    <row r="79" s="1" customFormat="true" ht="14.25" hidden="false" customHeight="false" outlineLevel="0" collapsed="false">
      <c r="A79" s="1" t="s">
        <v>1068</v>
      </c>
      <c r="B79" s="1" t="s">
        <v>1069</v>
      </c>
      <c r="C79" s="1" t="s">
        <v>59</v>
      </c>
      <c r="D79" s="1" t="s">
        <v>60</v>
      </c>
      <c r="E79" s="1" t="s">
        <v>189</v>
      </c>
      <c r="F79" s="1" t="s">
        <v>1070</v>
      </c>
      <c r="G79" s="20" t="s">
        <v>1071</v>
      </c>
      <c r="H79" s="1" t="s">
        <v>1072</v>
      </c>
      <c r="I79" s="1" t="s">
        <v>1073</v>
      </c>
      <c r="J79" s="1" t="s">
        <v>1074</v>
      </c>
      <c r="K79" s="1" t="s">
        <v>1075</v>
      </c>
      <c r="L79" s="1" t="s">
        <v>1076</v>
      </c>
      <c r="M79" s="20" t="n">
        <v>1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2</v>
      </c>
      <c r="Z79" s="3" t="n">
        <v>51</v>
      </c>
      <c r="AA79" s="1" t="n">
        <v>1</v>
      </c>
      <c r="AB79" s="1" t="n">
        <v>29</v>
      </c>
      <c r="AC79" s="1" t="n">
        <v>2</v>
      </c>
      <c r="AD79" s="1" t="n">
        <v>58</v>
      </c>
      <c r="AE79" s="1" t="n">
        <v>1</v>
      </c>
      <c r="AF79" s="1" t="n">
        <v>33</v>
      </c>
      <c r="AG79" s="1" t="n">
        <v>2</v>
      </c>
      <c r="AH79" s="1" t="n">
        <v>44</v>
      </c>
      <c r="AI79" s="1" t="n">
        <v>0</v>
      </c>
      <c r="AJ79" s="1" t="n">
        <v>0</v>
      </c>
      <c r="AK79" s="1" t="n">
        <v>8</v>
      </c>
      <c r="AL79" s="4" t="n">
        <v>215</v>
      </c>
      <c r="AM79" s="21" t="n">
        <v>542659</v>
      </c>
      <c r="AN79" s="21" t="n">
        <v>173755</v>
      </c>
      <c r="AO79" s="21" t="n">
        <v>12402</v>
      </c>
      <c r="AP79" s="21" t="n">
        <v>2910</v>
      </c>
      <c r="AQ79" s="21" t="n">
        <v>12908</v>
      </c>
      <c r="AR79" s="21" t="n">
        <v>0</v>
      </c>
      <c r="AS79" s="22" t="n">
        <v>0</v>
      </c>
      <c r="AU79" s="22" t="n">
        <v>1</v>
      </c>
      <c r="AV79" s="1" t="s">
        <v>1077</v>
      </c>
      <c r="AW79" s="22" t="n">
        <v>1</v>
      </c>
      <c r="AX79" s="1" t="s">
        <v>1078</v>
      </c>
      <c r="AY79" s="21" t="n">
        <v>14</v>
      </c>
      <c r="AZ79" s="21" t="n">
        <v>17.5</v>
      </c>
      <c r="BA79" s="21" t="n">
        <v>31.5</v>
      </c>
      <c r="BB79" s="1" t="s">
        <v>1079</v>
      </c>
      <c r="BC79" s="22" t="n">
        <v>1</v>
      </c>
      <c r="BD79" s="1" t="s">
        <v>1080</v>
      </c>
      <c r="BE79" s="22" t="n">
        <v>2</v>
      </c>
      <c r="BF79" s="1" t="s">
        <v>1081</v>
      </c>
      <c r="BG79" s="22" t="n">
        <v>1</v>
      </c>
      <c r="BH79" s="21" t="n">
        <v>1365</v>
      </c>
      <c r="BI79" s="21" t="n">
        <v>846</v>
      </c>
      <c r="BJ79" s="23" t="s">
        <v>101</v>
      </c>
    </row>
    <row r="80" s="1" customFormat="true" ht="14.25" hidden="false" customHeight="false" outlineLevel="0" collapsed="false">
      <c r="A80" s="1" t="s">
        <v>1082</v>
      </c>
      <c r="B80" s="1" t="s">
        <v>1083</v>
      </c>
      <c r="C80" s="1" t="s">
        <v>59</v>
      </c>
      <c r="D80" s="1" t="s">
        <v>60</v>
      </c>
      <c r="E80" s="1" t="s">
        <v>189</v>
      </c>
      <c r="F80" s="1" t="s">
        <v>1084</v>
      </c>
      <c r="G80" s="20" t="s">
        <v>1085</v>
      </c>
      <c r="H80" s="1" t="s">
        <v>1086</v>
      </c>
      <c r="I80" s="1" t="s">
        <v>1087</v>
      </c>
      <c r="J80" s="1" t="s">
        <v>1088</v>
      </c>
      <c r="K80" s="1" t="s">
        <v>1089</v>
      </c>
      <c r="L80" s="1" t="s">
        <v>1090</v>
      </c>
      <c r="M80" s="20" t="n">
        <v>1</v>
      </c>
      <c r="U80" s="1" t="n">
        <v>1</v>
      </c>
      <c r="V80" s="1" t="n">
        <v>0</v>
      </c>
      <c r="W80" s="1" t="n">
        <v>0</v>
      </c>
      <c r="X80" s="1" t="n">
        <v>0</v>
      </c>
      <c r="Y80" s="1" t="n">
        <v>2</v>
      </c>
      <c r="Z80" s="3" t="n">
        <v>54</v>
      </c>
      <c r="AA80" s="1" t="n">
        <v>4</v>
      </c>
      <c r="AB80" s="1" t="n">
        <v>107</v>
      </c>
      <c r="AC80" s="1" t="n">
        <v>3</v>
      </c>
      <c r="AD80" s="1" t="n">
        <v>89</v>
      </c>
      <c r="AE80" s="1" t="n">
        <v>2</v>
      </c>
      <c r="AF80" s="1" t="n">
        <v>68</v>
      </c>
      <c r="AG80" s="1" t="n">
        <v>2</v>
      </c>
      <c r="AH80" s="1" t="n">
        <v>60</v>
      </c>
      <c r="AI80" s="1" t="n">
        <v>0</v>
      </c>
      <c r="AJ80" s="1" t="n">
        <v>0</v>
      </c>
      <c r="AK80" s="1" t="n">
        <v>13</v>
      </c>
      <c r="AL80" s="4" t="n">
        <v>378</v>
      </c>
      <c r="AM80" s="21" t="n">
        <v>1052163</v>
      </c>
      <c r="AN80" s="21" t="n">
        <v>296895</v>
      </c>
      <c r="AO80" s="21" t="n">
        <v>0</v>
      </c>
      <c r="AP80" s="21" t="n">
        <v>304</v>
      </c>
      <c r="AQ80" s="21" t="n">
        <v>23784</v>
      </c>
      <c r="AR80" s="21" t="n">
        <v>0</v>
      </c>
      <c r="AS80" s="22" t="n">
        <v>2</v>
      </c>
      <c r="AT80" s="1" t="s">
        <v>1091</v>
      </c>
      <c r="AU80" s="22" t="n">
        <v>2</v>
      </c>
      <c r="AV80" s="1" t="s">
        <v>1092</v>
      </c>
      <c r="AW80" s="22" t="n">
        <v>2</v>
      </c>
      <c r="AX80" s="1" t="s">
        <v>1093</v>
      </c>
      <c r="AY80" s="21" t="n">
        <v>28.75</v>
      </c>
      <c r="AZ80" s="21" t="n">
        <v>25</v>
      </c>
      <c r="BA80" s="21" t="n">
        <v>53.75</v>
      </c>
      <c r="BB80" s="1" t="s">
        <v>1094</v>
      </c>
      <c r="BC80" s="22" t="n">
        <v>20</v>
      </c>
      <c r="BD80" s="1" t="s">
        <v>1095</v>
      </c>
      <c r="BE80" s="22" t="n">
        <v>28</v>
      </c>
      <c r="BF80" s="1" t="s">
        <v>1096</v>
      </c>
      <c r="BG80" s="22" t="n">
        <v>1</v>
      </c>
      <c r="BH80" s="21" t="n">
        <v>1178</v>
      </c>
      <c r="BI80" s="21" t="n">
        <v>790</v>
      </c>
      <c r="BJ80" s="23" t="s">
        <v>173</v>
      </c>
    </row>
    <row r="81" s="1" customFormat="true" ht="14.25" hidden="true" customHeight="false" outlineLevel="0" collapsed="false">
      <c r="A81" s="1" t="s">
        <v>1097</v>
      </c>
      <c r="B81" s="1" t="s">
        <v>1098</v>
      </c>
      <c r="C81" s="1" t="s">
        <v>59</v>
      </c>
      <c r="D81" s="1" t="s">
        <v>60</v>
      </c>
      <c r="E81" s="1" t="s">
        <v>162</v>
      </c>
      <c r="F81" s="1" t="s">
        <v>1099</v>
      </c>
      <c r="G81" s="20" t="s">
        <v>1100</v>
      </c>
      <c r="H81" s="1" t="s">
        <v>1101</v>
      </c>
      <c r="I81" s="1" t="s">
        <v>1102</v>
      </c>
      <c r="J81" s="1" t="s">
        <v>1103</v>
      </c>
      <c r="K81" s="1" t="s">
        <v>1104</v>
      </c>
      <c r="L81" s="1" t="s">
        <v>1105</v>
      </c>
      <c r="M81" s="20" t="n">
        <v>1</v>
      </c>
      <c r="U81" s="1" t="n">
        <v>1</v>
      </c>
      <c r="V81" s="1" t="n">
        <v>0</v>
      </c>
      <c r="W81" s="1" t="n">
        <v>0</v>
      </c>
      <c r="X81" s="1" t="n">
        <v>1</v>
      </c>
      <c r="Y81" s="1" t="n">
        <v>2</v>
      </c>
      <c r="Z81" s="3" t="n">
        <v>51</v>
      </c>
      <c r="AA81" s="1" t="n">
        <v>2</v>
      </c>
      <c r="AB81" s="1" t="n">
        <v>52</v>
      </c>
      <c r="AC81" s="1" t="n">
        <v>3</v>
      </c>
      <c r="AD81" s="1" t="n">
        <v>88</v>
      </c>
      <c r="AE81" s="1" t="n">
        <v>3</v>
      </c>
      <c r="AF81" s="1" t="n">
        <v>87</v>
      </c>
      <c r="AG81" s="1" t="n">
        <v>2</v>
      </c>
      <c r="AH81" s="1" t="n">
        <v>58</v>
      </c>
      <c r="AI81" s="1" t="n">
        <v>0</v>
      </c>
      <c r="AJ81" s="1" t="n">
        <v>0</v>
      </c>
      <c r="AK81" s="1" t="n">
        <v>12</v>
      </c>
      <c r="AL81" s="4" t="n">
        <v>336</v>
      </c>
      <c r="AM81" s="21" t="n">
        <v>852770</v>
      </c>
      <c r="AN81" s="21" t="n">
        <v>271374</v>
      </c>
      <c r="AO81" s="21" t="n">
        <v>0</v>
      </c>
      <c r="AP81" s="21" t="n">
        <v>50</v>
      </c>
      <c r="AQ81" s="21" t="n">
        <v>13939</v>
      </c>
      <c r="AR81" s="21" t="n">
        <v>0</v>
      </c>
      <c r="AS81" s="22" t="n">
        <v>0</v>
      </c>
      <c r="AU81" s="22" t="n">
        <v>1</v>
      </c>
      <c r="AV81" s="1" t="s">
        <v>1106</v>
      </c>
      <c r="AW81" s="22" t="n">
        <v>0</v>
      </c>
      <c r="AY81" s="21" t="n">
        <v>22.5</v>
      </c>
      <c r="AZ81" s="21" t="n">
        <v>23.5</v>
      </c>
      <c r="BA81" s="21" t="n">
        <v>46</v>
      </c>
      <c r="BB81" s="1" t="s">
        <v>1107</v>
      </c>
      <c r="BC81" s="22" t="n">
        <v>23</v>
      </c>
      <c r="BD81" s="1" t="s">
        <v>1108</v>
      </c>
      <c r="BE81" s="22" t="n">
        <v>3</v>
      </c>
      <c r="BF81" s="1" t="s">
        <v>1109</v>
      </c>
      <c r="BG81" s="22" t="n">
        <v>23</v>
      </c>
      <c r="BH81" s="21" t="n">
        <v>1492.8</v>
      </c>
      <c r="BI81" s="21" t="n">
        <v>828.56</v>
      </c>
      <c r="BJ81" s="7" t="s">
        <v>231</v>
      </c>
    </row>
    <row r="82" s="1" customFormat="true" ht="14.25" hidden="true" customHeight="false" outlineLevel="0" collapsed="false">
      <c r="A82" s="1" t="s">
        <v>1110</v>
      </c>
      <c r="B82" s="1" t="s">
        <v>1111</v>
      </c>
      <c r="C82" s="1" t="s">
        <v>59</v>
      </c>
      <c r="D82" s="1" t="s">
        <v>60</v>
      </c>
      <c r="E82" s="1" t="s">
        <v>61</v>
      </c>
      <c r="F82" s="1" t="s">
        <v>1112</v>
      </c>
      <c r="G82" s="20" t="s">
        <v>1113</v>
      </c>
      <c r="H82" s="1" t="s">
        <v>1114</v>
      </c>
      <c r="I82" s="1" t="s">
        <v>1115</v>
      </c>
      <c r="J82" s="1" t="s">
        <v>1116</v>
      </c>
      <c r="K82" s="1" t="s">
        <v>1117</v>
      </c>
      <c r="L82" s="1" t="s">
        <v>1118</v>
      </c>
      <c r="M82" s="20"/>
      <c r="U82" s="1" t="n">
        <v>0</v>
      </c>
      <c r="V82" s="1" t="n">
        <v>0</v>
      </c>
      <c r="W82" s="1" t="n">
        <v>0</v>
      </c>
      <c r="X82" s="1" t="n">
        <v>0</v>
      </c>
      <c r="Y82" s="1" t="n">
        <v>2</v>
      </c>
      <c r="Z82" s="3" t="n">
        <v>54</v>
      </c>
      <c r="AA82" s="1" t="n">
        <v>1</v>
      </c>
      <c r="AB82" s="1" t="n">
        <v>28</v>
      </c>
      <c r="AC82" s="1" t="n">
        <v>3</v>
      </c>
      <c r="AD82" s="1" t="n">
        <v>81</v>
      </c>
      <c r="AE82" s="1" t="n">
        <v>2</v>
      </c>
      <c r="AF82" s="1" t="n">
        <v>55</v>
      </c>
      <c r="AG82" s="1" t="n">
        <v>2</v>
      </c>
      <c r="AH82" s="1" t="n">
        <v>46</v>
      </c>
      <c r="AI82" s="1" t="n">
        <v>0</v>
      </c>
      <c r="AJ82" s="1" t="n">
        <v>0</v>
      </c>
      <c r="AK82" s="1" t="n">
        <v>10</v>
      </c>
      <c r="AL82" s="4" t="n">
        <v>264</v>
      </c>
      <c r="AM82" s="21" t="n">
        <v>640246</v>
      </c>
      <c r="AN82" s="21" t="n">
        <v>208000</v>
      </c>
      <c r="AO82" s="21" t="n">
        <v>0</v>
      </c>
      <c r="AP82" s="21" t="n">
        <v>0</v>
      </c>
      <c r="AQ82" s="21" t="n">
        <v>18728</v>
      </c>
      <c r="AR82" s="21" t="n">
        <v>0</v>
      </c>
      <c r="AS82" s="22" t="n">
        <v>0</v>
      </c>
      <c r="AU82" s="22" t="n">
        <v>0</v>
      </c>
      <c r="AW82" s="22" t="n">
        <v>0</v>
      </c>
      <c r="AY82" s="21" t="n">
        <v>18</v>
      </c>
      <c r="AZ82" s="21" t="n">
        <v>20</v>
      </c>
      <c r="BA82" s="21" t="n">
        <v>38</v>
      </c>
      <c r="BB82" s="1" t="s">
        <v>1119</v>
      </c>
      <c r="BC82" s="22" t="n">
        <v>1</v>
      </c>
      <c r="BD82" s="1" t="s">
        <v>1120</v>
      </c>
      <c r="BE82" s="22" t="n">
        <v>15</v>
      </c>
      <c r="BF82" s="1" t="s">
        <v>1119</v>
      </c>
      <c r="BG82" s="22" t="n">
        <v>1</v>
      </c>
      <c r="BH82" s="21" t="n">
        <v>1448</v>
      </c>
      <c r="BI82" s="21" t="n">
        <v>744</v>
      </c>
      <c r="BJ82" s="24" t="n">
        <v>43783</v>
      </c>
    </row>
    <row r="83" s="1" customFormat="true" ht="14.25" hidden="true" customHeight="false" outlineLevel="0" collapsed="false">
      <c r="A83" s="1" t="s">
        <v>1121</v>
      </c>
      <c r="B83" s="1" t="s">
        <v>1122</v>
      </c>
      <c r="C83" s="1" t="s">
        <v>59</v>
      </c>
      <c r="D83" s="1" t="s">
        <v>60</v>
      </c>
      <c r="E83" s="1" t="s">
        <v>118</v>
      </c>
      <c r="F83" s="1" t="s">
        <v>1123</v>
      </c>
      <c r="G83" s="20" t="s">
        <v>1124</v>
      </c>
      <c r="H83" s="1" t="s">
        <v>1125</v>
      </c>
      <c r="I83" s="1" t="s">
        <v>1126</v>
      </c>
      <c r="J83" s="1" t="s">
        <v>1127</v>
      </c>
      <c r="K83" s="1" t="s">
        <v>1128</v>
      </c>
      <c r="L83" s="1" t="s">
        <v>1129</v>
      </c>
      <c r="M83" s="20" t="n">
        <v>1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1</v>
      </c>
      <c r="Z83" s="3" t="n">
        <v>23</v>
      </c>
      <c r="AA83" s="1" t="n">
        <v>3</v>
      </c>
      <c r="AB83" s="1" t="n">
        <v>76</v>
      </c>
      <c r="AC83" s="1" t="n">
        <v>2</v>
      </c>
      <c r="AD83" s="1" t="n">
        <v>53</v>
      </c>
      <c r="AE83" s="1" t="n">
        <v>2</v>
      </c>
      <c r="AF83" s="1" t="n">
        <v>54</v>
      </c>
      <c r="AG83" s="1" t="n">
        <v>2</v>
      </c>
      <c r="AH83" s="1" t="n">
        <v>51</v>
      </c>
      <c r="AI83" s="1" t="n">
        <v>0</v>
      </c>
      <c r="AJ83" s="1" t="n">
        <v>0</v>
      </c>
      <c r="AK83" s="1" t="n">
        <v>10</v>
      </c>
      <c r="AL83" s="4" t="n">
        <v>257</v>
      </c>
      <c r="AM83" s="21" t="n">
        <v>652307</v>
      </c>
      <c r="AN83" s="21" t="n">
        <v>198026</v>
      </c>
      <c r="AO83" s="21" t="n">
        <v>0</v>
      </c>
      <c r="AP83" s="21" t="n">
        <v>0</v>
      </c>
      <c r="AQ83" s="21" t="n">
        <v>7539</v>
      </c>
      <c r="AR83" s="21" t="n">
        <v>0</v>
      </c>
      <c r="AS83" s="22" t="n">
        <v>0</v>
      </c>
      <c r="AU83" s="22" t="n">
        <v>0</v>
      </c>
      <c r="AW83" s="22" t="n">
        <v>0</v>
      </c>
      <c r="AY83" s="21" t="n">
        <v>20</v>
      </c>
      <c r="AZ83" s="21" t="n">
        <v>19</v>
      </c>
      <c r="BA83" s="21" t="n">
        <v>39</v>
      </c>
      <c r="BB83" s="1" t="s">
        <v>198</v>
      </c>
      <c r="BC83" s="22" t="n">
        <v>3</v>
      </c>
      <c r="BD83" s="1" t="s">
        <v>1130</v>
      </c>
      <c r="BE83" s="22" t="n">
        <v>15</v>
      </c>
      <c r="BF83" s="1" t="s">
        <v>1131</v>
      </c>
      <c r="BG83" s="22" t="n">
        <v>18</v>
      </c>
      <c r="BH83" s="21" t="n">
        <v>1109</v>
      </c>
      <c r="BI83" s="21" t="n">
        <v>640</v>
      </c>
      <c r="BJ83" s="23" t="s">
        <v>486</v>
      </c>
    </row>
    <row r="84" s="1" customFormat="true" ht="14.25" hidden="true" customHeight="false" outlineLevel="0" collapsed="false">
      <c r="A84" s="1" t="s">
        <v>1132</v>
      </c>
      <c r="B84" s="1" t="s">
        <v>1133</v>
      </c>
      <c r="C84" s="1" t="s">
        <v>59</v>
      </c>
      <c r="D84" s="1" t="s">
        <v>60</v>
      </c>
      <c r="E84" s="1" t="s">
        <v>137</v>
      </c>
      <c r="F84" s="1" t="s">
        <v>1134</v>
      </c>
      <c r="G84" s="20" t="s">
        <v>1135</v>
      </c>
      <c r="H84" s="1" t="s">
        <v>1136</v>
      </c>
      <c r="I84" s="1" t="s">
        <v>1137</v>
      </c>
      <c r="K84" s="1" t="s">
        <v>1138</v>
      </c>
      <c r="L84" s="1" t="s">
        <v>1139</v>
      </c>
      <c r="M84" s="20" t="n">
        <v>4</v>
      </c>
      <c r="N84" s="1" t="s">
        <v>1140</v>
      </c>
      <c r="O84" s="1" t="s">
        <v>1141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1</v>
      </c>
      <c r="Z84" s="3" t="n">
        <v>24</v>
      </c>
      <c r="AA84" s="1" t="n">
        <v>0</v>
      </c>
      <c r="AB84" s="1" t="n">
        <v>0</v>
      </c>
      <c r="AC84" s="1" t="n">
        <v>2</v>
      </c>
      <c r="AD84" s="1" t="n">
        <v>54</v>
      </c>
      <c r="AE84" s="1" t="n">
        <v>0</v>
      </c>
      <c r="AF84" s="1" t="n">
        <v>12</v>
      </c>
      <c r="AG84" s="1" t="n">
        <v>1</v>
      </c>
      <c r="AH84" s="1" t="n">
        <v>16</v>
      </c>
      <c r="AI84" s="1" t="n">
        <v>0</v>
      </c>
      <c r="AJ84" s="1" t="n">
        <v>0</v>
      </c>
      <c r="AK84" s="1" t="n">
        <v>4</v>
      </c>
      <c r="AL84" s="4" t="n">
        <v>106</v>
      </c>
      <c r="AM84" s="21" t="n">
        <v>267926</v>
      </c>
      <c r="AN84" s="21" t="n">
        <v>79623</v>
      </c>
      <c r="AO84" s="21" t="n">
        <v>0</v>
      </c>
      <c r="AP84" s="21" t="n">
        <v>0</v>
      </c>
      <c r="AQ84" s="21" t="n">
        <v>2874</v>
      </c>
      <c r="AR84" s="21" t="n">
        <v>0</v>
      </c>
      <c r="AS84" s="22" t="n">
        <v>0</v>
      </c>
      <c r="AU84" s="22" t="n">
        <v>0</v>
      </c>
      <c r="AW84" s="22" t="n">
        <v>0</v>
      </c>
      <c r="AY84" s="21" t="n">
        <v>7</v>
      </c>
      <c r="AZ84" s="21" t="n">
        <v>10</v>
      </c>
      <c r="BA84" s="21" t="n">
        <v>17</v>
      </c>
      <c r="BB84" s="1" t="s">
        <v>1142</v>
      </c>
      <c r="BC84" s="22" t="n">
        <v>15</v>
      </c>
      <c r="BD84" s="1" t="s">
        <v>1143</v>
      </c>
      <c r="BE84" s="22" t="n">
        <v>3</v>
      </c>
      <c r="BF84" s="1" t="s">
        <v>1144</v>
      </c>
      <c r="BG84" s="22" t="n">
        <v>3</v>
      </c>
      <c r="BH84" s="21" t="n">
        <v>183</v>
      </c>
      <c r="BI84" s="21" t="n">
        <v>79</v>
      </c>
      <c r="BJ84" s="23" t="s">
        <v>173</v>
      </c>
    </row>
    <row r="85" s="1" customFormat="true" ht="14.25" hidden="true" customHeight="false" outlineLevel="0" collapsed="false">
      <c r="A85" s="1" t="s">
        <v>1145</v>
      </c>
      <c r="B85" s="1" t="s">
        <v>1146</v>
      </c>
      <c r="C85" s="1" t="s">
        <v>59</v>
      </c>
      <c r="D85" s="1" t="s">
        <v>60</v>
      </c>
      <c r="E85" s="1" t="s">
        <v>176</v>
      </c>
      <c r="F85" s="1" t="s">
        <v>1147</v>
      </c>
      <c r="G85" s="20" t="s">
        <v>1148</v>
      </c>
      <c r="H85" s="1" t="s">
        <v>1149</v>
      </c>
      <c r="I85" s="1" t="s">
        <v>1150</v>
      </c>
      <c r="J85" s="1" t="s">
        <v>1151</v>
      </c>
      <c r="K85" s="1" t="s">
        <v>1152</v>
      </c>
      <c r="L85" s="1" t="s">
        <v>1153</v>
      </c>
      <c r="M85" s="20" t="n">
        <v>1</v>
      </c>
      <c r="N85" s="1" t="s">
        <v>1154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2</v>
      </c>
      <c r="Z85" s="3" t="n">
        <v>49</v>
      </c>
      <c r="AA85" s="1" t="n">
        <v>2</v>
      </c>
      <c r="AB85" s="1" t="n">
        <v>51</v>
      </c>
      <c r="AC85" s="1" t="n">
        <v>1</v>
      </c>
      <c r="AD85" s="1" t="n">
        <v>30</v>
      </c>
      <c r="AE85" s="1" t="n">
        <v>2</v>
      </c>
      <c r="AF85" s="1" t="n">
        <v>62</v>
      </c>
      <c r="AG85" s="1" t="n">
        <v>1</v>
      </c>
      <c r="AH85" s="1" t="n">
        <v>31</v>
      </c>
      <c r="AI85" s="1" t="n">
        <v>0</v>
      </c>
      <c r="AJ85" s="1" t="n">
        <v>0</v>
      </c>
      <c r="AK85" s="1" t="n">
        <v>8</v>
      </c>
      <c r="AL85" s="4" t="n">
        <v>223</v>
      </c>
      <c r="AM85" s="21" t="n">
        <v>591762</v>
      </c>
      <c r="AN85" s="21" t="n">
        <v>189951</v>
      </c>
      <c r="AO85" s="21" t="n">
        <v>0</v>
      </c>
      <c r="AP85" s="21" t="n">
        <v>0</v>
      </c>
      <c r="AQ85" s="21" t="n">
        <v>7554</v>
      </c>
      <c r="AR85" s="21" t="n">
        <v>0</v>
      </c>
      <c r="AS85" s="22" t="n">
        <v>0</v>
      </c>
      <c r="AU85" s="22" t="n">
        <v>0</v>
      </c>
      <c r="AW85" s="22" t="n">
        <v>0</v>
      </c>
      <c r="AY85" s="21" t="n">
        <v>15</v>
      </c>
      <c r="AZ85" s="21" t="n">
        <v>19</v>
      </c>
      <c r="BA85" s="21" t="n">
        <v>34</v>
      </c>
      <c r="BB85" s="1" t="s">
        <v>1155</v>
      </c>
      <c r="BC85" s="22" t="n">
        <v>14</v>
      </c>
      <c r="BD85" s="1" t="s">
        <v>1156</v>
      </c>
      <c r="BE85" s="22" t="n">
        <v>13</v>
      </c>
      <c r="BG85" s="22"/>
      <c r="BH85" s="21" t="n">
        <v>1344.77</v>
      </c>
      <c r="BI85" s="21" t="n">
        <v>809.97</v>
      </c>
      <c r="BJ85" s="23" t="s">
        <v>101</v>
      </c>
    </row>
    <row r="86" s="1" customFormat="true" ht="14.25" hidden="true" customHeight="false" outlineLevel="0" collapsed="false">
      <c r="A86" s="1" t="s">
        <v>1157</v>
      </c>
      <c r="B86" s="1" t="s">
        <v>1158</v>
      </c>
      <c r="C86" s="1" t="s">
        <v>59</v>
      </c>
      <c r="D86" s="1" t="s">
        <v>60</v>
      </c>
      <c r="E86" s="1" t="s">
        <v>162</v>
      </c>
      <c r="F86" s="1" t="s">
        <v>1159</v>
      </c>
      <c r="G86" s="20" t="s">
        <v>1160</v>
      </c>
      <c r="H86" s="1" t="s">
        <v>1161</v>
      </c>
      <c r="I86" s="1" t="s">
        <v>1162</v>
      </c>
      <c r="J86" s="1" t="s">
        <v>1163</v>
      </c>
      <c r="K86" s="1" t="s">
        <v>1164</v>
      </c>
      <c r="L86" s="1" t="s">
        <v>1165</v>
      </c>
      <c r="M86" s="20" t="n">
        <v>1</v>
      </c>
      <c r="N86" s="1" t="s">
        <v>1159</v>
      </c>
      <c r="U86" s="1" t="n">
        <v>1</v>
      </c>
      <c r="V86" s="1" t="n">
        <v>0</v>
      </c>
      <c r="W86" s="1" t="n">
        <v>0</v>
      </c>
      <c r="X86" s="1" t="n">
        <v>0</v>
      </c>
      <c r="Y86" s="1" t="n">
        <v>0</v>
      </c>
      <c r="Z86" s="3" t="n">
        <v>0</v>
      </c>
      <c r="AA86" s="1" t="n">
        <v>1</v>
      </c>
      <c r="AB86" s="1" t="n">
        <v>26</v>
      </c>
      <c r="AC86" s="1" t="n">
        <v>1</v>
      </c>
      <c r="AD86" s="1" t="n">
        <v>27</v>
      </c>
      <c r="AE86" s="1" t="n">
        <v>2</v>
      </c>
      <c r="AF86" s="1" t="n">
        <v>57</v>
      </c>
      <c r="AG86" s="1" t="n">
        <v>2</v>
      </c>
      <c r="AH86" s="1" t="n">
        <v>57</v>
      </c>
      <c r="AI86" s="1" t="n">
        <v>0</v>
      </c>
      <c r="AJ86" s="1" t="n">
        <v>0</v>
      </c>
      <c r="AK86" s="1" t="n">
        <v>6</v>
      </c>
      <c r="AL86" s="4" t="n">
        <v>167</v>
      </c>
      <c r="AM86" s="21" t="n">
        <v>430948</v>
      </c>
      <c r="AN86" s="21" t="n">
        <v>111445</v>
      </c>
      <c r="AO86" s="21" t="n">
        <v>0</v>
      </c>
      <c r="AP86" s="21" t="n">
        <v>0</v>
      </c>
      <c r="AQ86" s="21" t="n">
        <v>9769</v>
      </c>
      <c r="AR86" s="21" t="n">
        <v>0</v>
      </c>
      <c r="AS86" s="22" t="n">
        <v>0</v>
      </c>
      <c r="AU86" s="22" t="n">
        <v>0</v>
      </c>
      <c r="AW86" s="22" t="n">
        <v>0</v>
      </c>
      <c r="AY86" s="21" t="n">
        <v>14.5</v>
      </c>
      <c r="AZ86" s="21" t="n">
        <v>11</v>
      </c>
      <c r="BA86" s="21" t="n">
        <v>25.5</v>
      </c>
      <c r="BB86" s="1" t="s">
        <v>420</v>
      </c>
      <c r="BC86" s="22" t="n">
        <v>15</v>
      </c>
      <c r="BD86" s="1" t="s">
        <v>421</v>
      </c>
      <c r="BE86" s="22" t="n">
        <v>10</v>
      </c>
      <c r="BG86" s="22"/>
      <c r="BH86" s="21" t="n">
        <v>1254.41</v>
      </c>
      <c r="BI86" s="21" t="n">
        <v>793.68</v>
      </c>
      <c r="BJ86" s="23" t="s">
        <v>71</v>
      </c>
    </row>
    <row r="87" s="1" customFormat="true" ht="14.25" hidden="true" customHeight="false" outlineLevel="0" collapsed="false">
      <c r="A87" s="1" t="s">
        <v>1166</v>
      </c>
      <c r="B87" s="1" t="s">
        <v>1167</v>
      </c>
      <c r="C87" s="1" t="s">
        <v>59</v>
      </c>
      <c r="D87" s="1" t="s">
        <v>60</v>
      </c>
      <c r="E87" s="1" t="s">
        <v>355</v>
      </c>
      <c r="F87" s="1" t="s">
        <v>1168</v>
      </c>
      <c r="G87" s="20" t="s">
        <v>1169</v>
      </c>
      <c r="H87" s="1" t="s">
        <v>1170</v>
      </c>
      <c r="I87" s="1" t="s">
        <v>1171</v>
      </c>
      <c r="J87" s="1" t="s">
        <v>1172</v>
      </c>
      <c r="K87" s="1" t="s">
        <v>1173</v>
      </c>
      <c r="L87" s="1" t="s">
        <v>1174</v>
      </c>
      <c r="M87" s="20" t="n">
        <v>1</v>
      </c>
      <c r="N87" s="1" t="s">
        <v>1168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2</v>
      </c>
      <c r="Z87" s="3" t="n">
        <v>48</v>
      </c>
      <c r="AA87" s="1" t="n">
        <v>2</v>
      </c>
      <c r="AB87" s="1" t="n">
        <v>51</v>
      </c>
      <c r="AC87" s="1" t="n">
        <v>2</v>
      </c>
      <c r="AD87" s="1" t="n">
        <v>53</v>
      </c>
      <c r="AE87" s="1" t="n">
        <v>2</v>
      </c>
      <c r="AF87" s="1" t="n">
        <v>55</v>
      </c>
      <c r="AG87" s="1" t="n">
        <v>2</v>
      </c>
      <c r="AH87" s="1" t="n">
        <v>54</v>
      </c>
      <c r="AI87" s="1" t="n">
        <v>0</v>
      </c>
      <c r="AJ87" s="1" t="n">
        <v>0</v>
      </c>
      <c r="AK87" s="1" t="n">
        <v>10</v>
      </c>
      <c r="AL87" s="4" t="n">
        <v>261</v>
      </c>
      <c r="AM87" s="21" t="n">
        <v>698666</v>
      </c>
      <c r="AN87" s="21" t="n">
        <v>219174</v>
      </c>
      <c r="AO87" s="21" t="n">
        <v>0</v>
      </c>
      <c r="AP87" s="21" t="n">
        <v>534</v>
      </c>
      <c r="AQ87" s="21" t="n">
        <v>10293</v>
      </c>
      <c r="AR87" s="21" t="n">
        <v>0</v>
      </c>
      <c r="AS87" s="22" t="n">
        <v>2</v>
      </c>
      <c r="AT87" s="1" t="s">
        <v>1175</v>
      </c>
      <c r="AU87" s="22" t="n">
        <v>0</v>
      </c>
      <c r="AW87" s="22" t="n">
        <v>0</v>
      </c>
      <c r="AY87" s="21" t="n">
        <v>18.5</v>
      </c>
      <c r="AZ87" s="21" t="n">
        <v>20.5</v>
      </c>
      <c r="BA87" s="21" t="n">
        <v>39</v>
      </c>
      <c r="BB87" s="1" t="s">
        <v>1176</v>
      </c>
      <c r="BC87" s="22" t="n">
        <v>9</v>
      </c>
      <c r="BD87" s="1" t="s">
        <v>1177</v>
      </c>
      <c r="BE87" s="22" t="n">
        <v>2</v>
      </c>
      <c r="BF87" s="1" t="s">
        <v>1178</v>
      </c>
      <c r="BG87" s="22" t="n">
        <v>11</v>
      </c>
      <c r="BH87" s="21" t="n">
        <v>1411.69</v>
      </c>
      <c r="BI87" s="21" t="n">
        <v>750.38</v>
      </c>
      <c r="BJ87" s="23" t="s">
        <v>186</v>
      </c>
    </row>
    <row r="88" s="1" customFormat="true" ht="14.25" hidden="true" customHeight="false" outlineLevel="0" collapsed="false">
      <c r="A88" s="1" t="s">
        <v>1179</v>
      </c>
      <c r="B88" s="1" t="s">
        <v>1180</v>
      </c>
      <c r="C88" s="1" t="s">
        <v>59</v>
      </c>
      <c r="D88" s="1" t="s">
        <v>60</v>
      </c>
      <c r="E88" s="1" t="s">
        <v>74</v>
      </c>
      <c r="F88" s="1" t="s">
        <v>1181</v>
      </c>
      <c r="G88" s="20" t="s">
        <v>1182</v>
      </c>
      <c r="H88" s="1" t="s">
        <v>1183</v>
      </c>
      <c r="I88" s="1" t="s">
        <v>1184</v>
      </c>
      <c r="J88" s="1" t="s">
        <v>1185</v>
      </c>
      <c r="K88" s="1" t="s">
        <v>1186</v>
      </c>
      <c r="L88" s="1" t="s">
        <v>1187</v>
      </c>
      <c r="M88" s="20" t="n">
        <v>3</v>
      </c>
      <c r="N88" s="1" t="s">
        <v>1188</v>
      </c>
      <c r="O88" s="1" t="s">
        <v>1189</v>
      </c>
      <c r="P88" s="1" t="s">
        <v>1190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3" t="n">
        <v>0</v>
      </c>
      <c r="AA88" s="1" t="n">
        <v>2</v>
      </c>
      <c r="AB88" s="1" t="n">
        <v>53</v>
      </c>
      <c r="AC88" s="1" t="n">
        <v>2</v>
      </c>
      <c r="AD88" s="1" t="n">
        <v>64</v>
      </c>
      <c r="AE88" s="1" t="n">
        <v>2</v>
      </c>
      <c r="AF88" s="1" t="n">
        <v>61</v>
      </c>
      <c r="AG88" s="1" t="n">
        <v>1</v>
      </c>
      <c r="AH88" s="1" t="n">
        <v>34</v>
      </c>
      <c r="AI88" s="1" t="n">
        <v>0</v>
      </c>
      <c r="AJ88" s="1" t="n">
        <v>0</v>
      </c>
      <c r="AK88" s="1" t="n">
        <v>7</v>
      </c>
      <c r="AL88" s="4" t="n">
        <v>212</v>
      </c>
      <c r="AM88" s="21" t="n">
        <v>565143</v>
      </c>
      <c r="AN88" s="21" t="n">
        <v>151963</v>
      </c>
      <c r="AO88" s="21" t="n">
        <v>0</v>
      </c>
      <c r="AP88" s="21" t="n">
        <v>454.95</v>
      </c>
      <c r="AQ88" s="21" t="n">
        <v>10705</v>
      </c>
      <c r="AR88" s="21" t="n">
        <v>134</v>
      </c>
      <c r="AS88" s="22" t="n">
        <v>0</v>
      </c>
      <c r="AU88" s="22" t="n">
        <v>2</v>
      </c>
      <c r="AV88" s="1" t="s">
        <v>1191</v>
      </c>
      <c r="AW88" s="22" t="n">
        <v>0</v>
      </c>
      <c r="AY88" s="21" t="n">
        <v>15.5</v>
      </c>
      <c r="AZ88" s="21" t="n">
        <v>15.5</v>
      </c>
      <c r="BA88" s="21" t="n">
        <v>31</v>
      </c>
      <c r="BB88" s="1" t="s">
        <v>1192</v>
      </c>
      <c r="BC88" s="22" t="n">
        <v>16</v>
      </c>
      <c r="BE88" s="22"/>
      <c r="BG88" s="22"/>
      <c r="BH88" s="21" t="n">
        <v>1402</v>
      </c>
      <c r="BI88" s="21" t="n">
        <v>782</v>
      </c>
      <c r="BJ88" s="23" t="s">
        <v>201</v>
      </c>
    </row>
    <row r="89" s="1" customFormat="true" ht="14.25" hidden="true" customHeight="false" outlineLevel="0" collapsed="false">
      <c r="A89" s="1" t="s">
        <v>1193</v>
      </c>
      <c r="B89" s="1" t="s">
        <v>1194</v>
      </c>
      <c r="C89" s="1" t="s">
        <v>59</v>
      </c>
      <c r="D89" s="1" t="s">
        <v>234</v>
      </c>
      <c r="E89" s="1" t="s">
        <v>235</v>
      </c>
      <c r="F89" s="1" t="s">
        <v>1195</v>
      </c>
      <c r="G89" s="20" t="s">
        <v>1196</v>
      </c>
      <c r="H89" s="1" t="s">
        <v>1197</v>
      </c>
      <c r="I89" s="1" t="s">
        <v>1198</v>
      </c>
      <c r="J89" s="1" t="s">
        <v>1199</v>
      </c>
      <c r="K89" s="1" t="s">
        <v>1200</v>
      </c>
      <c r="L89" s="1" t="s">
        <v>1201</v>
      </c>
      <c r="M89" s="20" t="n">
        <v>1</v>
      </c>
      <c r="N89" s="1" t="s">
        <v>1202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1</v>
      </c>
      <c r="Z89" s="3" t="n">
        <v>25</v>
      </c>
      <c r="AA89" s="1" t="n">
        <v>2</v>
      </c>
      <c r="AB89" s="1" t="n">
        <v>51</v>
      </c>
      <c r="AC89" s="1" t="n">
        <v>2</v>
      </c>
      <c r="AD89" s="1" t="n">
        <v>59</v>
      </c>
      <c r="AE89" s="1" t="n">
        <v>3</v>
      </c>
      <c r="AF89" s="1" t="n">
        <v>93</v>
      </c>
      <c r="AG89" s="1" t="n">
        <v>2</v>
      </c>
      <c r="AH89" s="1" t="n">
        <v>56</v>
      </c>
      <c r="AI89" s="1" t="n">
        <v>0</v>
      </c>
      <c r="AJ89" s="1" t="n">
        <v>0</v>
      </c>
      <c r="AK89" s="1" t="n">
        <v>10</v>
      </c>
      <c r="AL89" s="4" t="n">
        <v>284</v>
      </c>
      <c r="AM89" s="21" t="n">
        <v>732723</v>
      </c>
      <c r="AN89" s="21" t="n">
        <v>225920</v>
      </c>
      <c r="AO89" s="21" t="n">
        <v>0</v>
      </c>
      <c r="AP89" s="21" t="n">
        <v>0</v>
      </c>
      <c r="AQ89" s="21" t="n">
        <v>13560</v>
      </c>
      <c r="AR89" s="21" t="n">
        <v>0</v>
      </c>
      <c r="AS89" s="22" t="n">
        <v>0</v>
      </c>
      <c r="AU89" s="22" t="n">
        <v>0</v>
      </c>
      <c r="AW89" s="22" t="n">
        <v>0</v>
      </c>
      <c r="AY89" s="21" t="n">
        <v>22</v>
      </c>
      <c r="AZ89" s="21" t="n">
        <v>21.5</v>
      </c>
      <c r="BA89" s="21" t="n">
        <v>43.5</v>
      </c>
      <c r="BB89" s="1" t="s">
        <v>321</v>
      </c>
      <c r="BC89" s="22" t="n">
        <v>22</v>
      </c>
      <c r="BD89" s="1" t="s">
        <v>1203</v>
      </c>
      <c r="BE89" s="22" t="n">
        <v>22</v>
      </c>
      <c r="BF89" s="1" t="s">
        <v>1204</v>
      </c>
      <c r="BG89" s="22" t="n">
        <v>18</v>
      </c>
      <c r="BH89" s="21" t="n">
        <v>1295.67</v>
      </c>
      <c r="BI89" s="21" t="n">
        <v>815.03</v>
      </c>
      <c r="BJ89" s="23" t="s">
        <v>268</v>
      </c>
    </row>
    <row r="90" s="1" customFormat="true" ht="14.25" hidden="true" customHeight="false" outlineLevel="0" collapsed="false">
      <c r="A90" s="1" t="s">
        <v>1205</v>
      </c>
      <c r="B90" s="1" t="s">
        <v>1206</v>
      </c>
      <c r="C90" s="1" t="s">
        <v>59</v>
      </c>
      <c r="D90" s="1" t="s">
        <v>60</v>
      </c>
      <c r="E90" s="1" t="s">
        <v>625</v>
      </c>
      <c r="F90" s="1" t="s">
        <v>1207</v>
      </c>
      <c r="G90" s="20" t="s">
        <v>1208</v>
      </c>
      <c r="H90" s="1" t="s">
        <v>1209</v>
      </c>
      <c r="I90" s="1" t="s">
        <v>1210</v>
      </c>
      <c r="K90" s="1" t="s">
        <v>1211</v>
      </c>
      <c r="M90" s="20" t="n">
        <v>2</v>
      </c>
      <c r="N90" s="1" t="s">
        <v>1212</v>
      </c>
      <c r="O90" s="1" t="s">
        <v>1212</v>
      </c>
      <c r="U90" s="1" t="n">
        <v>1</v>
      </c>
      <c r="V90" s="1" t="n">
        <v>0</v>
      </c>
      <c r="W90" s="1" t="n">
        <v>0</v>
      </c>
      <c r="X90" s="1" t="n">
        <v>0</v>
      </c>
      <c r="Y90" s="1" t="n">
        <v>1</v>
      </c>
      <c r="Z90" s="3" t="n">
        <v>24</v>
      </c>
      <c r="AA90" s="1" t="n">
        <v>0</v>
      </c>
      <c r="AB90" s="1" t="n">
        <v>0</v>
      </c>
      <c r="AC90" s="1" t="n">
        <v>1</v>
      </c>
      <c r="AD90" s="1" t="n">
        <v>23</v>
      </c>
      <c r="AE90" s="1" t="n">
        <v>1</v>
      </c>
      <c r="AF90" s="1" t="n">
        <v>23</v>
      </c>
      <c r="AG90" s="1" t="n">
        <v>1</v>
      </c>
      <c r="AH90" s="1" t="n">
        <v>28</v>
      </c>
      <c r="AI90" s="1" t="n">
        <v>1</v>
      </c>
      <c r="AJ90" s="1" t="n">
        <v>29</v>
      </c>
      <c r="AK90" s="1" t="n">
        <v>5</v>
      </c>
      <c r="AL90" s="4" t="n">
        <v>127</v>
      </c>
      <c r="AM90" s="21" t="n">
        <v>264963</v>
      </c>
      <c r="AN90" s="21" t="n">
        <v>57169</v>
      </c>
      <c r="AO90" s="21" t="n">
        <v>0</v>
      </c>
      <c r="AP90" s="21" t="n">
        <v>0</v>
      </c>
      <c r="AQ90" s="21" t="n">
        <v>2987.29</v>
      </c>
      <c r="AR90" s="21" t="n">
        <v>0</v>
      </c>
      <c r="AS90" s="22" t="n">
        <v>0</v>
      </c>
      <c r="AU90" s="22" t="n">
        <v>0</v>
      </c>
      <c r="AW90" s="22" t="n">
        <v>0</v>
      </c>
      <c r="AY90" s="21" t="n">
        <v>9</v>
      </c>
      <c r="AZ90" s="21" t="n">
        <v>11</v>
      </c>
      <c r="BA90" s="21" t="n">
        <v>20</v>
      </c>
      <c r="BB90" s="1" t="s">
        <v>1213</v>
      </c>
      <c r="BC90" s="22" t="n">
        <v>8</v>
      </c>
      <c r="BD90" s="1" t="s">
        <v>1213</v>
      </c>
      <c r="BE90" s="22" t="n">
        <v>5</v>
      </c>
      <c r="BF90" s="1" t="s">
        <v>1214</v>
      </c>
      <c r="BG90" s="22" t="n">
        <v>8</v>
      </c>
      <c r="BH90" s="21" t="n">
        <v>1296.62</v>
      </c>
      <c r="BI90" s="21" t="n">
        <v>910.36</v>
      </c>
      <c r="BJ90" s="25" t="s">
        <v>186</v>
      </c>
    </row>
    <row r="91" s="1" customFormat="true" ht="28.35" hidden="true" customHeight="false" outlineLevel="0" collapsed="false">
      <c r="A91" s="1" t="s">
        <v>1215</v>
      </c>
      <c r="B91" s="1" t="s">
        <v>1216</v>
      </c>
      <c r="C91" s="1" t="s">
        <v>59</v>
      </c>
      <c r="D91" s="1" t="s">
        <v>60</v>
      </c>
      <c r="E91" s="1" t="s">
        <v>137</v>
      </c>
      <c r="F91" s="1" t="s">
        <v>1217</v>
      </c>
      <c r="G91" s="20" t="s">
        <v>1218</v>
      </c>
      <c r="H91" s="1" t="s">
        <v>1219</v>
      </c>
      <c r="I91" s="1" t="s">
        <v>1220</v>
      </c>
      <c r="J91" s="1" t="s">
        <v>1221</v>
      </c>
      <c r="K91" s="1" t="s">
        <v>1222</v>
      </c>
      <c r="L91" s="27" t="s">
        <v>1223</v>
      </c>
      <c r="M91" s="20" t="n">
        <v>3</v>
      </c>
      <c r="N91" s="27" t="s">
        <v>1224</v>
      </c>
      <c r="O91" s="27" t="s">
        <v>1225</v>
      </c>
      <c r="P91" s="27" t="s">
        <v>1226</v>
      </c>
      <c r="U91" s="1" t="n">
        <v>1</v>
      </c>
      <c r="V91" s="1" t="n">
        <v>0</v>
      </c>
      <c r="W91" s="1" t="n">
        <v>1</v>
      </c>
      <c r="X91" s="1" t="n">
        <v>1</v>
      </c>
      <c r="Y91" s="1" t="n">
        <v>3</v>
      </c>
      <c r="Z91" s="3" t="n">
        <v>72</v>
      </c>
      <c r="AA91" s="1" t="n">
        <v>2</v>
      </c>
      <c r="AB91" s="1" t="n">
        <v>64</v>
      </c>
      <c r="AC91" s="1" t="n">
        <v>2</v>
      </c>
      <c r="AD91" s="1" t="n">
        <v>59</v>
      </c>
      <c r="AE91" s="1" t="n">
        <v>3</v>
      </c>
      <c r="AF91" s="1" t="n">
        <v>81</v>
      </c>
      <c r="AG91" s="1" t="n">
        <v>2</v>
      </c>
      <c r="AH91" s="1" t="n">
        <v>51</v>
      </c>
      <c r="AI91" s="1" t="n">
        <v>0</v>
      </c>
      <c r="AJ91" s="1" t="n">
        <v>0</v>
      </c>
      <c r="AK91" s="1" t="n">
        <v>12</v>
      </c>
      <c r="AL91" s="4" t="n">
        <v>327</v>
      </c>
      <c r="AM91" s="21" t="n">
        <v>753342</v>
      </c>
      <c r="AN91" s="21" t="n">
        <v>256200</v>
      </c>
      <c r="AO91" s="21" t="n">
        <v>0</v>
      </c>
      <c r="AP91" s="21" t="n">
        <v>2049.8</v>
      </c>
      <c r="AQ91" s="21" t="n">
        <v>0</v>
      </c>
      <c r="AR91" s="21" t="n">
        <v>0</v>
      </c>
      <c r="AS91" s="22" t="n">
        <v>3</v>
      </c>
      <c r="AT91" s="27" t="s">
        <v>1227</v>
      </c>
      <c r="AU91" s="22" t="n">
        <v>2</v>
      </c>
      <c r="AV91" s="1" t="s">
        <v>1228</v>
      </c>
      <c r="AW91" s="22" t="n">
        <v>1</v>
      </c>
      <c r="AX91" s="1" t="s">
        <v>1229</v>
      </c>
      <c r="AY91" s="21" t="n">
        <v>22</v>
      </c>
      <c r="AZ91" s="21" t="n">
        <v>29</v>
      </c>
      <c r="BA91" s="21" t="n">
        <v>51</v>
      </c>
      <c r="BB91" s="27" t="s">
        <v>1230</v>
      </c>
      <c r="BC91" s="22" t="n">
        <v>1</v>
      </c>
      <c r="BD91" s="1" t="s">
        <v>1231</v>
      </c>
      <c r="BE91" s="22" t="n">
        <v>1</v>
      </c>
      <c r="BF91" s="1" t="s">
        <v>1232</v>
      </c>
      <c r="BG91" s="22" t="n">
        <v>1</v>
      </c>
      <c r="BH91" s="21" t="n">
        <v>1154</v>
      </c>
      <c r="BI91" s="21" t="n">
        <v>657</v>
      </c>
      <c r="BJ91" s="23" t="s">
        <v>268</v>
      </c>
    </row>
    <row r="92" s="1" customFormat="true" ht="14.25" hidden="true" customHeight="false" outlineLevel="0" collapsed="false">
      <c r="A92" s="1" t="s">
        <v>1233</v>
      </c>
      <c r="B92" s="1" t="s">
        <v>1234</v>
      </c>
      <c r="C92" s="1" t="s">
        <v>59</v>
      </c>
      <c r="D92" s="1" t="s">
        <v>60</v>
      </c>
      <c r="E92" s="1" t="s">
        <v>324</v>
      </c>
      <c r="F92" s="1" t="s">
        <v>1235</v>
      </c>
      <c r="G92" s="20" t="s">
        <v>1236</v>
      </c>
      <c r="H92" s="1" t="s">
        <v>1237</v>
      </c>
      <c r="I92" s="1" t="s">
        <v>1238</v>
      </c>
      <c r="J92" s="1" t="s">
        <v>1239</v>
      </c>
      <c r="K92" s="1" t="s">
        <v>1240</v>
      </c>
      <c r="L92" s="1" t="s">
        <v>1241</v>
      </c>
      <c r="M92" s="20" t="n">
        <v>1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2</v>
      </c>
      <c r="Z92" s="3" t="n">
        <v>51</v>
      </c>
      <c r="AA92" s="1" t="n">
        <v>2</v>
      </c>
      <c r="AB92" s="1" t="n">
        <v>50</v>
      </c>
      <c r="AC92" s="1" t="n">
        <v>2</v>
      </c>
      <c r="AD92" s="1" t="n">
        <v>64</v>
      </c>
      <c r="AE92" s="1" t="n">
        <v>2</v>
      </c>
      <c r="AF92" s="1" t="n">
        <v>55</v>
      </c>
      <c r="AG92" s="1" t="n">
        <v>2</v>
      </c>
      <c r="AH92" s="1" t="n">
        <v>56</v>
      </c>
      <c r="AI92" s="1" t="n">
        <v>0</v>
      </c>
      <c r="AJ92" s="1" t="n">
        <v>0</v>
      </c>
      <c r="AK92" s="1" t="n">
        <v>10</v>
      </c>
      <c r="AL92" s="4" t="n">
        <v>276</v>
      </c>
      <c r="AM92" s="21" t="n">
        <v>674050</v>
      </c>
      <c r="AN92" s="21" t="n">
        <v>210108</v>
      </c>
      <c r="AO92" s="21" t="n">
        <v>0</v>
      </c>
      <c r="AP92" s="21" t="n">
        <v>0</v>
      </c>
      <c r="AQ92" s="21" t="n">
        <v>7269</v>
      </c>
      <c r="AR92" s="21" t="n">
        <v>0</v>
      </c>
      <c r="AS92" s="22" t="n">
        <v>0</v>
      </c>
      <c r="AU92" s="22" t="n">
        <v>1</v>
      </c>
      <c r="AV92" s="1" t="s">
        <v>292</v>
      </c>
      <c r="AW92" s="22" t="n">
        <v>0</v>
      </c>
      <c r="AY92" s="21" t="n">
        <v>20</v>
      </c>
      <c r="AZ92" s="21" t="n">
        <v>22</v>
      </c>
      <c r="BA92" s="21" t="n">
        <v>42</v>
      </c>
      <c r="BC92" s="22"/>
      <c r="BE92" s="22"/>
      <c r="BG92" s="22"/>
      <c r="BH92" s="21" t="n">
        <v>1248.96</v>
      </c>
      <c r="BI92" s="21" t="n">
        <v>747.43</v>
      </c>
      <c r="BJ92" s="23" t="s">
        <v>268</v>
      </c>
    </row>
    <row r="93" s="1" customFormat="true" ht="28.35" hidden="true" customHeight="false" outlineLevel="0" collapsed="false">
      <c r="A93" s="1" t="s">
        <v>1242</v>
      </c>
      <c r="B93" s="1" t="s">
        <v>1243</v>
      </c>
      <c r="C93" s="1" t="s">
        <v>59</v>
      </c>
      <c r="D93" s="1" t="s">
        <v>60</v>
      </c>
      <c r="E93" s="1" t="s">
        <v>324</v>
      </c>
      <c r="F93" s="1" t="s">
        <v>1244</v>
      </c>
      <c r="G93" s="20" t="s">
        <v>1245</v>
      </c>
      <c r="H93" s="1" t="s">
        <v>1246</v>
      </c>
      <c r="I93" s="1" t="s">
        <v>1247</v>
      </c>
      <c r="J93" s="1" t="s">
        <v>1248</v>
      </c>
      <c r="K93" s="1" t="s">
        <v>1249</v>
      </c>
      <c r="M93" s="20" t="n">
        <v>2</v>
      </c>
      <c r="N93" s="27" t="s">
        <v>1250</v>
      </c>
      <c r="O93" s="1" t="s">
        <v>1251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2</v>
      </c>
      <c r="Z93" s="3" t="n">
        <v>50</v>
      </c>
      <c r="AA93" s="1" t="n">
        <v>3</v>
      </c>
      <c r="AB93" s="1" t="n">
        <v>75</v>
      </c>
      <c r="AC93" s="1" t="n">
        <v>3</v>
      </c>
      <c r="AD93" s="1" t="n">
        <v>94</v>
      </c>
      <c r="AE93" s="1" t="n">
        <v>3</v>
      </c>
      <c r="AF93" s="1" t="n">
        <v>81</v>
      </c>
      <c r="AG93" s="1" t="n">
        <v>3</v>
      </c>
      <c r="AH93" s="1" t="n">
        <v>83</v>
      </c>
      <c r="AI93" s="1" t="n">
        <v>0</v>
      </c>
      <c r="AJ93" s="1" t="n">
        <v>0</v>
      </c>
      <c r="AK93" s="1" t="n">
        <v>14</v>
      </c>
      <c r="AL93" s="4" t="n">
        <v>383</v>
      </c>
      <c r="AM93" s="21" t="n">
        <v>830680</v>
      </c>
      <c r="AN93" s="21" t="n">
        <v>242730</v>
      </c>
      <c r="AO93" s="21" t="n">
        <v>0</v>
      </c>
      <c r="AP93" s="21" t="n">
        <v>600</v>
      </c>
      <c r="AQ93" s="21" t="n">
        <v>12476.39</v>
      </c>
      <c r="AR93" s="21" t="n">
        <v>586</v>
      </c>
      <c r="AS93" s="22" t="n">
        <v>0</v>
      </c>
      <c r="AU93" s="22" t="n">
        <v>0</v>
      </c>
      <c r="AW93" s="22" t="n">
        <v>0</v>
      </c>
      <c r="AY93" s="21" t="n">
        <v>27.5</v>
      </c>
      <c r="AZ93" s="21" t="n">
        <v>28.25</v>
      </c>
      <c r="BA93" s="21" t="n">
        <v>55.75</v>
      </c>
      <c r="BC93" s="22"/>
      <c r="BE93" s="22"/>
      <c r="BG93" s="22"/>
      <c r="BH93" s="21" t="n">
        <v>1339.05</v>
      </c>
      <c r="BI93" s="21" t="n">
        <v>825.95</v>
      </c>
      <c r="BJ93" s="23" t="s">
        <v>173</v>
      </c>
    </row>
    <row r="94" s="1" customFormat="true" ht="41.75" hidden="true" customHeight="false" outlineLevel="0" collapsed="false">
      <c r="A94" s="1" t="s">
        <v>1252</v>
      </c>
      <c r="B94" s="1" t="s">
        <v>1253</v>
      </c>
      <c r="C94" s="1" t="s">
        <v>59</v>
      </c>
      <c r="D94" s="1" t="s">
        <v>60</v>
      </c>
      <c r="E94" s="1" t="s">
        <v>162</v>
      </c>
      <c r="F94" s="1" t="s">
        <v>1254</v>
      </c>
      <c r="G94" s="20" t="s">
        <v>1255</v>
      </c>
      <c r="H94" s="1" t="s">
        <v>1256</v>
      </c>
      <c r="I94" s="1" t="s">
        <v>1257</v>
      </c>
      <c r="J94" s="1" t="s">
        <v>1258</v>
      </c>
      <c r="K94" s="1" t="s">
        <v>1259</v>
      </c>
      <c r="L94" s="27" t="s">
        <v>1260</v>
      </c>
      <c r="M94" s="20" t="n">
        <v>3</v>
      </c>
      <c r="N94" s="1" t="s">
        <v>1261</v>
      </c>
      <c r="O94" s="1" t="s">
        <v>1262</v>
      </c>
      <c r="P94" s="1" t="s">
        <v>1263</v>
      </c>
      <c r="U94" s="1" t="n">
        <v>1</v>
      </c>
      <c r="V94" s="1" t="n">
        <v>0</v>
      </c>
      <c r="W94" s="1" t="n">
        <v>1</v>
      </c>
      <c r="X94" s="1" t="n">
        <v>8</v>
      </c>
      <c r="Y94" s="1" t="n">
        <v>4</v>
      </c>
      <c r="Z94" s="3" t="n">
        <v>105</v>
      </c>
      <c r="AA94" s="1" t="n">
        <v>3</v>
      </c>
      <c r="AB94" s="1" t="n">
        <v>73</v>
      </c>
      <c r="AC94" s="1" t="n">
        <v>3</v>
      </c>
      <c r="AD94" s="1" t="n">
        <v>88</v>
      </c>
      <c r="AE94" s="1" t="n">
        <v>3</v>
      </c>
      <c r="AF94" s="1" t="n">
        <v>89</v>
      </c>
      <c r="AG94" s="1" t="n">
        <v>3</v>
      </c>
      <c r="AH94" s="1" t="n">
        <v>70</v>
      </c>
      <c r="AI94" s="1" t="n">
        <v>0</v>
      </c>
      <c r="AJ94" s="1" t="n">
        <v>0</v>
      </c>
      <c r="AK94" s="1" t="n">
        <v>16</v>
      </c>
      <c r="AL94" s="4" t="n">
        <v>425</v>
      </c>
      <c r="AM94" s="21" t="n">
        <v>939738</v>
      </c>
      <c r="AN94" s="21" t="n">
        <v>318705</v>
      </c>
      <c r="AO94" s="21" t="n">
        <v>0</v>
      </c>
      <c r="AP94" s="21" t="n">
        <v>250</v>
      </c>
      <c r="AQ94" s="21" t="n">
        <v>8577</v>
      </c>
      <c r="AR94" s="21" t="n">
        <v>0</v>
      </c>
      <c r="AS94" s="22" t="n">
        <v>0</v>
      </c>
      <c r="AU94" s="22" t="n">
        <v>1</v>
      </c>
      <c r="AV94" s="1" t="s">
        <v>1264</v>
      </c>
      <c r="AW94" s="22" t="n">
        <v>0</v>
      </c>
      <c r="AY94" s="21" t="n">
        <v>28</v>
      </c>
      <c r="AZ94" s="21" t="n">
        <v>30</v>
      </c>
      <c r="BA94" s="21" t="n">
        <v>58</v>
      </c>
      <c r="BC94" s="22"/>
      <c r="BD94" s="1" t="s">
        <v>1265</v>
      </c>
      <c r="BE94" s="22" t="n">
        <v>28</v>
      </c>
      <c r="BG94" s="22"/>
      <c r="BH94" s="21" t="n">
        <v>1421</v>
      </c>
      <c r="BI94" s="21" t="n">
        <v>766</v>
      </c>
      <c r="BJ94" s="23" t="s">
        <v>173</v>
      </c>
    </row>
    <row r="95" s="1" customFormat="true" ht="14.25" hidden="true" customHeight="false" outlineLevel="0" collapsed="false">
      <c r="A95" s="1" t="s">
        <v>1266</v>
      </c>
      <c r="B95" s="1" t="s">
        <v>1267</v>
      </c>
      <c r="C95" s="1" t="s">
        <v>59</v>
      </c>
      <c r="D95" s="1" t="s">
        <v>1268</v>
      </c>
      <c r="E95" s="1" t="s">
        <v>625</v>
      </c>
      <c r="F95" s="1" t="s">
        <v>1269</v>
      </c>
      <c r="G95" s="20" t="s">
        <v>1270</v>
      </c>
      <c r="H95" s="1" t="s">
        <v>1271</v>
      </c>
      <c r="I95" s="1" t="s">
        <v>1272</v>
      </c>
      <c r="J95" s="1" t="s">
        <v>1273</v>
      </c>
      <c r="K95" s="1" t="s">
        <v>1274</v>
      </c>
      <c r="L95" s="1" t="s">
        <v>1275</v>
      </c>
      <c r="M95" s="20" t="n">
        <v>1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1</v>
      </c>
      <c r="Z95" s="3" t="n">
        <v>24</v>
      </c>
      <c r="AA95" s="1" t="n">
        <v>1</v>
      </c>
      <c r="AB95" s="1" t="n">
        <v>21</v>
      </c>
      <c r="AC95" s="1" t="n">
        <v>1</v>
      </c>
      <c r="AD95" s="1" t="n">
        <v>24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1</v>
      </c>
      <c r="AJ95" s="1" t="n">
        <v>28</v>
      </c>
      <c r="AK95" s="1" t="n">
        <v>4</v>
      </c>
      <c r="AL95" s="4" t="n">
        <v>97</v>
      </c>
      <c r="AM95" s="21" t="n">
        <v>309153</v>
      </c>
      <c r="AN95" s="21" t="n">
        <v>86166</v>
      </c>
      <c r="AO95" s="21" t="n">
        <v>0</v>
      </c>
      <c r="AP95" s="21" t="n">
        <v>0</v>
      </c>
      <c r="AQ95" s="21" t="n">
        <v>0</v>
      </c>
      <c r="AR95" s="21" t="n">
        <v>0</v>
      </c>
      <c r="AS95" s="22" t="n">
        <v>0</v>
      </c>
      <c r="AU95" s="22" t="n">
        <v>0</v>
      </c>
      <c r="AW95" s="22" t="n">
        <v>0</v>
      </c>
      <c r="AY95" s="21" t="n">
        <v>7</v>
      </c>
      <c r="AZ95" s="21" t="n">
        <v>9.5</v>
      </c>
      <c r="BA95" s="21" t="n">
        <v>16.5</v>
      </c>
      <c r="BB95" s="1" t="s">
        <v>1276</v>
      </c>
      <c r="BC95" s="22" t="n">
        <v>6</v>
      </c>
      <c r="BD95" s="1" t="s">
        <v>1277</v>
      </c>
      <c r="BE95" s="22" t="n">
        <v>1</v>
      </c>
      <c r="BF95" s="1" t="s">
        <v>1278</v>
      </c>
      <c r="BG95" s="22" t="n">
        <v>1</v>
      </c>
      <c r="BH95" s="21" t="n">
        <v>1181.05</v>
      </c>
      <c r="BI95" s="21" t="n">
        <v>788.09</v>
      </c>
      <c r="BJ95" s="23" t="s">
        <v>173</v>
      </c>
    </row>
    <row r="96" s="1" customFormat="true" ht="14.25" hidden="true" customHeight="false" outlineLevel="0" collapsed="false">
      <c r="A96" s="1" t="s">
        <v>1279</v>
      </c>
      <c r="B96" s="1" t="s">
        <v>1280</v>
      </c>
      <c r="C96" s="1" t="s">
        <v>59</v>
      </c>
      <c r="D96" s="1" t="s">
        <v>60</v>
      </c>
      <c r="E96" s="1" t="s">
        <v>355</v>
      </c>
      <c r="F96" s="1" t="s">
        <v>1281</v>
      </c>
      <c r="G96" s="20" t="s">
        <v>1282</v>
      </c>
      <c r="H96" s="1" t="s">
        <v>1283</v>
      </c>
      <c r="I96" s="1" t="s">
        <v>1284</v>
      </c>
      <c r="K96" s="1" t="s">
        <v>1285</v>
      </c>
      <c r="L96" s="1" t="s">
        <v>1286</v>
      </c>
      <c r="M96" s="20" t="n">
        <v>1</v>
      </c>
      <c r="N96" s="1" t="s">
        <v>1287</v>
      </c>
      <c r="U96" s="1" t="n">
        <v>2</v>
      </c>
      <c r="V96" s="1" t="n">
        <v>0</v>
      </c>
      <c r="W96" s="1" t="n">
        <v>1</v>
      </c>
      <c r="X96" s="1" t="n">
        <v>2</v>
      </c>
      <c r="Y96" s="1" t="n">
        <v>2</v>
      </c>
      <c r="Z96" s="3" t="n">
        <v>50</v>
      </c>
      <c r="AA96" s="1" t="n">
        <v>1</v>
      </c>
      <c r="AB96" s="1" t="n">
        <v>30</v>
      </c>
      <c r="AC96" s="1" t="n">
        <v>1</v>
      </c>
      <c r="AD96" s="1" t="n">
        <v>33</v>
      </c>
      <c r="AE96" s="1" t="n">
        <v>1</v>
      </c>
      <c r="AF96" s="1" t="n">
        <v>33</v>
      </c>
      <c r="AG96" s="1" t="n">
        <v>1</v>
      </c>
      <c r="AH96" s="1" t="n">
        <v>30</v>
      </c>
      <c r="AI96" s="1" t="n">
        <v>0</v>
      </c>
      <c r="AJ96" s="1" t="n">
        <v>0</v>
      </c>
      <c r="AK96" s="1" t="n">
        <v>6</v>
      </c>
      <c r="AL96" s="4" t="n">
        <v>176</v>
      </c>
      <c r="AM96" s="21" t="n">
        <v>463583</v>
      </c>
      <c r="AN96" s="21" t="n">
        <v>128546</v>
      </c>
      <c r="AO96" s="21" t="n">
        <v>0</v>
      </c>
      <c r="AP96" s="21" t="n">
        <v>0</v>
      </c>
      <c r="AQ96" s="21" t="n">
        <v>10049</v>
      </c>
      <c r="AR96" s="21" t="n">
        <v>0</v>
      </c>
      <c r="AS96" s="22" t="n">
        <v>0</v>
      </c>
      <c r="AU96" s="22" t="n">
        <v>1</v>
      </c>
      <c r="AV96" s="1" t="s">
        <v>496</v>
      </c>
      <c r="AW96" s="22" t="n">
        <v>0</v>
      </c>
      <c r="AY96" s="21" t="n">
        <v>11</v>
      </c>
      <c r="AZ96" s="21" t="n">
        <v>15</v>
      </c>
      <c r="BA96" s="21" t="n">
        <v>26</v>
      </c>
      <c r="BB96" s="1" t="s">
        <v>1288</v>
      </c>
      <c r="BC96" s="22" t="n">
        <v>10</v>
      </c>
      <c r="BD96" s="1" t="s">
        <v>1289</v>
      </c>
      <c r="BE96" s="22" t="n">
        <v>3</v>
      </c>
      <c r="BF96" s="1" t="s">
        <v>1290</v>
      </c>
      <c r="BG96" s="22" t="n">
        <v>6</v>
      </c>
      <c r="BH96" s="21" t="n">
        <v>1280</v>
      </c>
      <c r="BI96" s="21" t="n">
        <v>810</v>
      </c>
      <c r="BJ96" s="23" t="s">
        <v>101</v>
      </c>
    </row>
    <row r="97" s="1" customFormat="true" ht="14.25" hidden="true" customHeight="false" outlineLevel="0" collapsed="false">
      <c r="A97" s="1" t="s">
        <v>1291</v>
      </c>
      <c r="B97" s="1" t="s">
        <v>1292</v>
      </c>
      <c r="C97" s="1" t="s">
        <v>59</v>
      </c>
      <c r="D97" s="1" t="s">
        <v>60</v>
      </c>
      <c r="E97" s="1" t="s">
        <v>235</v>
      </c>
      <c r="F97" s="1" t="s">
        <v>1293</v>
      </c>
      <c r="G97" s="20" t="s">
        <v>1294</v>
      </c>
      <c r="H97" s="1" t="s">
        <v>1295</v>
      </c>
      <c r="I97" s="1" t="s">
        <v>1296</v>
      </c>
      <c r="J97" s="1" t="s">
        <v>1297</v>
      </c>
      <c r="K97" s="1" t="s">
        <v>1298</v>
      </c>
      <c r="L97" s="1" t="n">
        <v>886</v>
      </c>
      <c r="M97" s="20" t="n">
        <v>1</v>
      </c>
      <c r="U97" s="1" t="n">
        <v>3</v>
      </c>
      <c r="V97" s="1" t="n">
        <v>0</v>
      </c>
      <c r="W97" s="1" t="n">
        <v>1</v>
      </c>
      <c r="X97" s="1" t="n">
        <v>10</v>
      </c>
      <c r="Y97" s="1" t="n">
        <v>3</v>
      </c>
      <c r="Z97" s="3" t="n">
        <v>69</v>
      </c>
      <c r="AA97" s="1" t="n">
        <v>3</v>
      </c>
      <c r="AB97" s="1" t="n">
        <v>78</v>
      </c>
      <c r="AC97" s="1" t="n">
        <v>2</v>
      </c>
      <c r="AD97" s="1" t="n">
        <v>43</v>
      </c>
      <c r="AE97" s="1" t="n">
        <v>1</v>
      </c>
      <c r="AF97" s="1" t="n">
        <v>27</v>
      </c>
      <c r="AG97" s="1" t="n">
        <v>2</v>
      </c>
      <c r="AH97" s="1" t="n">
        <v>35</v>
      </c>
      <c r="AI97" s="1" t="n">
        <v>0</v>
      </c>
      <c r="AJ97" s="1" t="n">
        <v>0</v>
      </c>
      <c r="AK97" s="1" t="n">
        <v>11</v>
      </c>
      <c r="AL97" s="4" t="n">
        <v>252</v>
      </c>
      <c r="AM97" s="21" t="n">
        <v>471478</v>
      </c>
      <c r="AN97" s="21" t="n">
        <v>126021</v>
      </c>
      <c r="AO97" s="21" t="n">
        <v>0</v>
      </c>
      <c r="AP97" s="21" t="n">
        <v>0</v>
      </c>
      <c r="AQ97" s="21" t="n">
        <v>2338</v>
      </c>
      <c r="AR97" s="21" t="n">
        <v>305</v>
      </c>
      <c r="AS97" s="22" t="n">
        <v>1</v>
      </c>
      <c r="AT97" s="1" t="s">
        <v>1299</v>
      </c>
      <c r="AU97" s="22" t="n">
        <v>0</v>
      </c>
      <c r="AW97" s="22" t="n">
        <v>0</v>
      </c>
      <c r="AY97" s="21" t="n">
        <v>18</v>
      </c>
      <c r="AZ97" s="21" t="n">
        <v>21.5</v>
      </c>
      <c r="BA97" s="21" t="n">
        <v>39.5</v>
      </c>
      <c r="BB97" s="1" t="s">
        <v>1300</v>
      </c>
      <c r="BC97" s="22" t="n">
        <v>1</v>
      </c>
      <c r="BD97" s="1" t="s">
        <v>1301</v>
      </c>
      <c r="BE97" s="22" t="n">
        <v>1</v>
      </c>
      <c r="BF97" s="1" t="s">
        <v>1302</v>
      </c>
      <c r="BG97" s="22" t="n">
        <v>16</v>
      </c>
      <c r="BH97" s="21" t="n">
        <v>1109.75</v>
      </c>
      <c r="BI97" s="21" t="n">
        <v>723.54</v>
      </c>
      <c r="BJ97" s="23" t="s">
        <v>71</v>
      </c>
    </row>
    <row r="98" s="1" customFormat="true" ht="14.25" hidden="true" customHeight="false" outlineLevel="0" collapsed="false">
      <c r="A98" s="1" t="s">
        <v>1303</v>
      </c>
      <c r="B98" s="1" t="s">
        <v>1304</v>
      </c>
      <c r="C98" s="1" t="s">
        <v>59</v>
      </c>
      <c r="D98" s="1" t="s">
        <v>1305</v>
      </c>
      <c r="E98" s="1" t="s">
        <v>91</v>
      </c>
      <c r="F98" s="1" t="s">
        <v>1306</v>
      </c>
      <c r="G98" s="20" t="s">
        <v>1307</v>
      </c>
      <c r="H98" s="1" t="s">
        <v>1308</v>
      </c>
      <c r="I98" s="1" t="s">
        <v>1309</v>
      </c>
      <c r="J98" s="1" t="s">
        <v>1310</v>
      </c>
      <c r="K98" s="1" t="s">
        <v>1311</v>
      </c>
      <c r="L98" s="1" t="s">
        <v>1312</v>
      </c>
      <c r="M98" s="20" t="n">
        <v>3</v>
      </c>
      <c r="N98" s="1" t="s">
        <v>1313</v>
      </c>
      <c r="O98" s="1" t="s">
        <v>1314</v>
      </c>
      <c r="U98" s="1" t="n">
        <v>3</v>
      </c>
      <c r="V98" s="1" t="n">
        <v>0</v>
      </c>
      <c r="W98" s="1" t="n">
        <v>2</v>
      </c>
      <c r="X98" s="1" t="n">
        <v>5</v>
      </c>
      <c r="Y98" s="1" t="n">
        <v>2</v>
      </c>
      <c r="Z98" s="3" t="n">
        <v>37</v>
      </c>
      <c r="AA98" s="1" t="n">
        <v>2</v>
      </c>
      <c r="AB98" s="1" t="n">
        <v>38</v>
      </c>
      <c r="AC98" s="1" t="n">
        <v>1</v>
      </c>
      <c r="AD98" s="1" t="n">
        <v>28</v>
      </c>
      <c r="AE98" s="1" t="n">
        <v>1</v>
      </c>
      <c r="AF98" s="1" t="n">
        <v>33</v>
      </c>
      <c r="AG98" s="1" t="n">
        <v>1</v>
      </c>
      <c r="AH98" s="1" t="n">
        <v>27</v>
      </c>
      <c r="AI98" s="1" t="n">
        <v>2</v>
      </c>
      <c r="AJ98" s="1" t="n">
        <v>59</v>
      </c>
      <c r="AK98" s="1" t="n">
        <v>9</v>
      </c>
      <c r="AL98" s="4" t="n">
        <v>222</v>
      </c>
      <c r="AM98" s="21" t="n">
        <v>512838</v>
      </c>
      <c r="AN98" s="21" t="n">
        <v>168922</v>
      </c>
      <c r="AO98" s="21" t="n">
        <v>0</v>
      </c>
      <c r="AP98" s="21" t="n">
        <v>294.9</v>
      </c>
      <c r="AQ98" s="21" t="n">
        <v>8454</v>
      </c>
      <c r="AR98" s="21" t="n">
        <v>0</v>
      </c>
      <c r="AS98" s="22" t="n">
        <v>0</v>
      </c>
      <c r="AU98" s="22" t="n">
        <v>0</v>
      </c>
      <c r="AW98" s="22" t="n">
        <v>0</v>
      </c>
      <c r="AY98" s="21" t="n">
        <v>16.5</v>
      </c>
      <c r="AZ98" s="21" t="n">
        <v>18.125</v>
      </c>
      <c r="BA98" s="21" t="n">
        <v>34.625</v>
      </c>
      <c r="BB98" s="1" t="s">
        <v>472</v>
      </c>
      <c r="BC98" s="22" t="n">
        <v>1</v>
      </c>
      <c r="BD98" s="1" t="s">
        <v>1315</v>
      </c>
      <c r="BE98" s="22" t="n">
        <v>3</v>
      </c>
      <c r="BG98" s="22"/>
      <c r="BH98" s="21" t="n">
        <v>1415</v>
      </c>
      <c r="BI98" s="21" t="n">
        <v>869</v>
      </c>
      <c r="BJ98" s="23" t="s">
        <v>101</v>
      </c>
    </row>
    <row r="99" s="1" customFormat="true" ht="28.35" hidden="true" customHeight="false" outlineLevel="0" collapsed="false">
      <c r="A99" s="1" t="s">
        <v>1316</v>
      </c>
      <c r="B99" s="1" t="s">
        <v>1317</v>
      </c>
      <c r="C99" s="1" t="s">
        <v>59</v>
      </c>
      <c r="D99" s="1" t="s">
        <v>60</v>
      </c>
      <c r="E99" s="1" t="s">
        <v>204</v>
      </c>
      <c r="F99" s="1" t="s">
        <v>1318</v>
      </c>
      <c r="G99" s="20" t="s">
        <v>1319</v>
      </c>
      <c r="H99" s="1" t="s">
        <v>1320</v>
      </c>
      <c r="I99" s="1" t="s">
        <v>1321</v>
      </c>
      <c r="J99" s="1" t="s">
        <v>1322</v>
      </c>
      <c r="K99" s="1" t="s">
        <v>1323</v>
      </c>
      <c r="L99" s="1" t="s">
        <v>1324</v>
      </c>
      <c r="M99" s="20" t="n">
        <v>1</v>
      </c>
      <c r="N99" s="27" t="s">
        <v>1325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2</v>
      </c>
      <c r="Z99" s="3" t="n">
        <v>49</v>
      </c>
      <c r="AA99" s="1" t="n">
        <v>2</v>
      </c>
      <c r="AB99" s="1" t="n">
        <v>50</v>
      </c>
      <c r="AC99" s="1" t="n">
        <v>2</v>
      </c>
      <c r="AD99" s="1" t="n">
        <v>62</v>
      </c>
      <c r="AE99" s="1" t="n">
        <v>1</v>
      </c>
      <c r="AF99" s="1" t="n">
        <v>31</v>
      </c>
      <c r="AG99" s="1" t="n">
        <v>1</v>
      </c>
      <c r="AH99" s="1" t="n">
        <v>30</v>
      </c>
      <c r="AI99" s="1" t="n">
        <v>0</v>
      </c>
      <c r="AJ99" s="1" t="n">
        <v>0</v>
      </c>
      <c r="AK99" s="1" t="n">
        <v>8</v>
      </c>
      <c r="AL99" s="4" t="n">
        <v>222</v>
      </c>
      <c r="AM99" s="21" t="n">
        <v>549202</v>
      </c>
      <c r="AN99" s="21" t="n">
        <v>158391</v>
      </c>
      <c r="AO99" s="21" t="n">
        <v>9984</v>
      </c>
      <c r="AP99" s="21" t="n">
        <v>3322.97</v>
      </c>
      <c r="AQ99" s="21" t="n">
        <v>9473</v>
      </c>
      <c r="AR99" s="21" t="n">
        <v>0</v>
      </c>
      <c r="AS99" s="22" t="n">
        <v>0</v>
      </c>
      <c r="AU99" s="22" t="n">
        <v>1</v>
      </c>
      <c r="AV99" s="1" t="s">
        <v>1326</v>
      </c>
      <c r="AW99" s="22" t="n">
        <v>0</v>
      </c>
      <c r="AY99" s="21" t="n">
        <v>16</v>
      </c>
      <c r="AZ99" s="21" t="n">
        <v>17</v>
      </c>
      <c r="BA99" s="21" t="n">
        <v>33</v>
      </c>
      <c r="BB99" s="1" t="s">
        <v>923</v>
      </c>
      <c r="BC99" s="22" t="n">
        <v>14</v>
      </c>
      <c r="BD99" s="1" t="s">
        <v>1327</v>
      </c>
      <c r="BE99" s="22" t="n">
        <v>14</v>
      </c>
      <c r="BF99" s="1" t="s">
        <v>1327</v>
      </c>
      <c r="BG99" s="22" t="n">
        <v>19</v>
      </c>
      <c r="BH99" s="21" t="n">
        <v>1198</v>
      </c>
      <c r="BI99" s="21" t="n">
        <v>780</v>
      </c>
      <c r="BJ99" s="23" t="s">
        <v>173</v>
      </c>
    </row>
    <row r="100" s="1" customFormat="true" ht="82.05" hidden="true" customHeight="false" outlineLevel="0" collapsed="false">
      <c r="A100" s="1" t="s">
        <v>1328</v>
      </c>
      <c r="B100" s="1" t="s">
        <v>1329</v>
      </c>
      <c r="C100" s="1" t="s">
        <v>59</v>
      </c>
      <c r="D100" s="1" t="s">
        <v>60</v>
      </c>
      <c r="E100" s="1" t="s">
        <v>162</v>
      </c>
      <c r="F100" s="1" t="s">
        <v>1330</v>
      </c>
      <c r="G100" s="20" t="s">
        <v>1331</v>
      </c>
      <c r="H100" s="1" t="s">
        <v>1332</v>
      </c>
      <c r="I100" s="1" t="s">
        <v>1333</v>
      </c>
      <c r="J100" s="1" t="s">
        <v>1334</v>
      </c>
      <c r="K100" s="1" t="s">
        <v>1335</v>
      </c>
      <c r="L100" s="27" t="s">
        <v>1336</v>
      </c>
      <c r="M100" s="20" t="n">
        <v>6</v>
      </c>
      <c r="N100" s="1" t="s">
        <v>1337</v>
      </c>
      <c r="O100" s="1" t="s">
        <v>1338</v>
      </c>
      <c r="P100" s="1" t="s">
        <v>1339</v>
      </c>
      <c r="Q100" s="1" t="s">
        <v>1340</v>
      </c>
      <c r="R100" s="1" t="s">
        <v>1341</v>
      </c>
      <c r="U100" s="1" t="n">
        <v>0</v>
      </c>
      <c r="V100" s="1" t="n">
        <v>0</v>
      </c>
      <c r="W100" s="1" t="n">
        <v>1</v>
      </c>
      <c r="X100" s="1" t="n">
        <v>2</v>
      </c>
      <c r="Y100" s="1" t="n">
        <v>0</v>
      </c>
      <c r="Z100" s="3" t="n">
        <v>0</v>
      </c>
      <c r="AA100" s="1" t="n">
        <v>4</v>
      </c>
      <c r="AB100" s="1" t="n">
        <v>105</v>
      </c>
      <c r="AC100" s="1" t="n">
        <v>2</v>
      </c>
      <c r="AD100" s="1" t="n">
        <v>60</v>
      </c>
      <c r="AE100" s="1" t="n">
        <v>3</v>
      </c>
      <c r="AF100" s="1" t="n">
        <v>85</v>
      </c>
      <c r="AG100" s="1" t="n">
        <v>3</v>
      </c>
      <c r="AH100" s="1" t="n">
        <v>84</v>
      </c>
      <c r="AI100" s="1" t="n">
        <v>1</v>
      </c>
      <c r="AJ100" s="1" t="n">
        <v>8</v>
      </c>
      <c r="AK100" s="1" t="n">
        <v>13</v>
      </c>
      <c r="AL100" s="4" t="n">
        <v>342</v>
      </c>
      <c r="AM100" s="21" t="n">
        <v>991128</v>
      </c>
      <c r="AN100" s="21" t="n">
        <v>273157</v>
      </c>
      <c r="AO100" s="21" t="n">
        <v>41579.9</v>
      </c>
      <c r="AP100" s="21" t="n">
        <v>9960.95</v>
      </c>
      <c r="AQ100" s="21" t="n">
        <v>22499</v>
      </c>
      <c r="AR100" s="21" t="n">
        <v>0</v>
      </c>
      <c r="AS100" s="22" t="n">
        <v>1</v>
      </c>
      <c r="AT100" s="1" t="s">
        <v>1342</v>
      </c>
      <c r="AU100" s="22" t="n">
        <v>4</v>
      </c>
      <c r="AV100" s="1" t="s">
        <v>1343</v>
      </c>
      <c r="AW100" s="22" t="n">
        <v>1</v>
      </c>
      <c r="AX100" s="1" t="s">
        <v>1344</v>
      </c>
      <c r="AY100" s="21" t="n">
        <v>31</v>
      </c>
      <c r="AZ100" s="21" t="n">
        <v>24</v>
      </c>
      <c r="BA100" s="21" t="n">
        <v>55</v>
      </c>
      <c r="BB100" s="1" t="s">
        <v>497</v>
      </c>
      <c r="BC100" s="22" t="n">
        <v>7</v>
      </c>
      <c r="BD100" s="1" t="s">
        <v>1345</v>
      </c>
      <c r="BE100" s="22" t="n">
        <v>1</v>
      </c>
      <c r="BF100" s="1" t="s">
        <v>133</v>
      </c>
      <c r="BG100" s="22" t="n">
        <v>9</v>
      </c>
      <c r="BH100" s="21" t="n">
        <v>1355.48</v>
      </c>
      <c r="BI100" s="21" t="n">
        <v>861.34</v>
      </c>
      <c r="BJ100" s="23" t="s">
        <v>231</v>
      </c>
    </row>
    <row r="101" s="1" customFormat="true" ht="14.25" hidden="true" customHeight="false" outlineLevel="0" collapsed="false">
      <c r="A101" s="1" t="s">
        <v>1346</v>
      </c>
      <c r="B101" s="1" t="s">
        <v>1347</v>
      </c>
      <c r="C101" s="1" t="s">
        <v>59</v>
      </c>
      <c r="D101" s="1" t="s">
        <v>60</v>
      </c>
      <c r="E101" s="1" t="s">
        <v>1348</v>
      </c>
      <c r="F101" s="1" t="s">
        <v>1349</v>
      </c>
      <c r="G101" s="20" t="s">
        <v>1350</v>
      </c>
      <c r="H101" s="1" t="s">
        <v>1351</v>
      </c>
      <c r="I101" s="1" t="s">
        <v>1352</v>
      </c>
      <c r="J101" s="1" t="s">
        <v>1353</v>
      </c>
      <c r="K101" s="1" t="s">
        <v>1354</v>
      </c>
      <c r="L101" s="1" t="s">
        <v>1355</v>
      </c>
      <c r="M101" s="20" t="n">
        <v>3</v>
      </c>
      <c r="N101" s="1" t="s">
        <v>1356</v>
      </c>
      <c r="O101" s="1" t="s">
        <v>1357</v>
      </c>
      <c r="P101" s="1" t="s">
        <v>1358</v>
      </c>
      <c r="U101" s="1" t="n">
        <v>0</v>
      </c>
      <c r="V101" s="1" t="n">
        <v>0</v>
      </c>
      <c r="W101" s="1" t="n">
        <v>0</v>
      </c>
      <c r="X101" s="1" t="n">
        <v>1</v>
      </c>
      <c r="Y101" s="1" t="n">
        <v>0</v>
      </c>
      <c r="Z101" s="3" t="n">
        <v>0</v>
      </c>
      <c r="AA101" s="1" t="n">
        <v>1</v>
      </c>
      <c r="AB101" s="1" t="n">
        <v>27</v>
      </c>
      <c r="AC101" s="1" t="n">
        <v>1</v>
      </c>
      <c r="AD101" s="1" t="n">
        <v>32</v>
      </c>
      <c r="AE101" s="1" t="n">
        <v>2</v>
      </c>
      <c r="AF101" s="1" t="n">
        <v>59</v>
      </c>
      <c r="AG101" s="1" t="n">
        <v>1</v>
      </c>
      <c r="AH101" s="1" t="n">
        <v>33</v>
      </c>
      <c r="AI101" s="1" t="n">
        <v>0</v>
      </c>
      <c r="AJ101" s="1" t="n">
        <v>0</v>
      </c>
      <c r="AK101" s="1" t="n">
        <v>5</v>
      </c>
      <c r="AL101" s="4" t="n">
        <v>151</v>
      </c>
      <c r="AM101" s="21" t="n">
        <v>396875</v>
      </c>
      <c r="AN101" s="21" t="n">
        <v>96506</v>
      </c>
      <c r="AO101" s="21" t="n">
        <v>0</v>
      </c>
      <c r="AP101" s="21" t="n">
        <v>0</v>
      </c>
      <c r="AQ101" s="21" t="n">
        <v>5299</v>
      </c>
      <c r="AR101" s="21" t="n">
        <v>0</v>
      </c>
      <c r="AS101" s="22" t="n">
        <v>0</v>
      </c>
      <c r="AU101" s="22" t="n">
        <v>0</v>
      </c>
      <c r="AW101" s="22" t="n">
        <v>0</v>
      </c>
      <c r="AY101" s="21" t="n">
        <v>11.5</v>
      </c>
      <c r="AZ101" s="21" t="n">
        <v>12</v>
      </c>
      <c r="BA101" s="21" t="n">
        <v>23.5</v>
      </c>
      <c r="BB101" s="1" t="s">
        <v>1359</v>
      </c>
      <c r="BC101" s="22" t="n">
        <v>11</v>
      </c>
      <c r="BE101" s="22"/>
      <c r="BG101" s="22"/>
      <c r="BH101" s="21" t="n">
        <v>1396.09</v>
      </c>
      <c r="BI101" s="21" t="n">
        <v>787.53</v>
      </c>
      <c r="BJ101" s="23" t="s">
        <v>173</v>
      </c>
    </row>
    <row r="102" s="1" customFormat="true" ht="14.25" hidden="true" customHeight="false" outlineLevel="0" collapsed="false">
      <c r="A102" s="1" t="s">
        <v>1360</v>
      </c>
      <c r="B102" s="1" t="s">
        <v>1361</v>
      </c>
      <c r="C102" s="1" t="s">
        <v>59</v>
      </c>
      <c r="D102" s="1" t="s">
        <v>60</v>
      </c>
      <c r="E102" s="1" t="s">
        <v>355</v>
      </c>
      <c r="F102" s="1" t="s">
        <v>1362</v>
      </c>
      <c r="G102" s="20" t="s">
        <v>1363</v>
      </c>
      <c r="H102" s="1" t="s">
        <v>1364</v>
      </c>
      <c r="I102" s="1" t="s">
        <v>1365</v>
      </c>
      <c r="J102" s="1" t="s">
        <v>1366</v>
      </c>
      <c r="K102" s="1" t="s">
        <v>1367</v>
      </c>
      <c r="L102" s="1" t="s">
        <v>1368</v>
      </c>
      <c r="M102" s="20" t="n">
        <v>1</v>
      </c>
      <c r="U102" s="1" t="n">
        <v>2</v>
      </c>
      <c r="V102" s="1" t="n">
        <v>0</v>
      </c>
      <c r="W102" s="1" t="n">
        <v>0</v>
      </c>
      <c r="X102" s="1" t="n">
        <v>1</v>
      </c>
      <c r="Y102" s="1" t="n">
        <v>2</v>
      </c>
      <c r="Z102" s="3" t="n">
        <v>51</v>
      </c>
      <c r="AA102" s="1" t="n">
        <v>1</v>
      </c>
      <c r="AB102" s="1" t="n">
        <v>33</v>
      </c>
      <c r="AC102" s="1" t="n">
        <v>3</v>
      </c>
      <c r="AD102" s="1" t="n">
        <v>65</v>
      </c>
      <c r="AE102" s="1" t="n">
        <v>1</v>
      </c>
      <c r="AF102" s="1" t="n">
        <v>42</v>
      </c>
      <c r="AG102" s="1" t="n">
        <v>3</v>
      </c>
      <c r="AH102" s="1" t="n">
        <v>60</v>
      </c>
      <c r="AI102" s="1" t="n">
        <v>0</v>
      </c>
      <c r="AJ102" s="1" t="n">
        <v>0</v>
      </c>
      <c r="AK102" s="1" t="n">
        <v>10</v>
      </c>
      <c r="AL102" s="4" t="n">
        <v>251</v>
      </c>
      <c r="AM102" s="21" t="n">
        <v>845986</v>
      </c>
      <c r="AN102" s="21" t="n">
        <v>183713</v>
      </c>
      <c r="AO102" s="21" t="n">
        <v>0</v>
      </c>
      <c r="AP102" s="21" t="n">
        <v>0</v>
      </c>
      <c r="AQ102" s="21" t="n">
        <v>7781</v>
      </c>
      <c r="AR102" s="21" t="n">
        <v>0</v>
      </c>
      <c r="AS102" s="22" t="n">
        <v>0</v>
      </c>
      <c r="AU102" s="22" t="n">
        <v>0</v>
      </c>
      <c r="AW102" s="22" t="n">
        <v>0</v>
      </c>
      <c r="AY102" s="21" t="n">
        <v>22</v>
      </c>
      <c r="AZ102" s="21" t="n">
        <v>20.5</v>
      </c>
      <c r="BA102" s="21" t="n">
        <v>42.5</v>
      </c>
      <c r="BB102" s="1" t="s">
        <v>1369</v>
      </c>
      <c r="BC102" s="22" t="n">
        <v>9</v>
      </c>
      <c r="BD102" s="1" t="s">
        <v>1370</v>
      </c>
      <c r="BE102" s="22" t="n">
        <v>21</v>
      </c>
      <c r="BF102" s="1" t="s">
        <v>1371</v>
      </c>
      <c r="BG102" s="22" t="n">
        <v>21</v>
      </c>
      <c r="BH102" s="21" t="n">
        <v>1335.74</v>
      </c>
      <c r="BI102" s="21" t="n">
        <v>782.88</v>
      </c>
      <c r="BJ102" s="23" t="s">
        <v>186</v>
      </c>
    </row>
    <row r="103" s="1" customFormat="true" ht="28.35" hidden="true" customHeight="false" outlineLevel="0" collapsed="false">
      <c r="A103" s="1" t="s">
        <v>1372</v>
      </c>
      <c r="B103" s="1" t="s">
        <v>1373</v>
      </c>
      <c r="C103" s="1" t="s">
        <v>59</v>
      </c>
      <c r="D103" s="1" t="s">
        <v>1374</v>
      </c>
      <c r="E103" s="1" t="s">
        <v>1375</v>
      </c>
      <c r="F103" s="1" t="s">
        <v>1376</v>
      </c>
      <c r="G103" s="20" t="s">
        <v>1377</v>
      </c>
      <c r="H103" s="1" t="s">
        <v>1378</v>
      </c>
      <c r="I103" s="1" t="s">
        <v>1379</v>
      </c>
      <c r="K103" s="1" t="s">
        <v>1380</v>
      </c>
      <c r="L103" s="1" t="s">
        <v>1381</v>
      </c>
      <c r="M103" s="20" t="n">
        <v>5</v>
      </c>
      <c r="N103" s="27" t="s">
        <v>1382</v>
      </c>
      <c r="O103" s="27" t="s">
        <v>1383</v>
      </c>
      <c r="P103" s="1" t="s">
        <v>1384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3" t="n">
        <v>0</v>
      </c>
      <c r="AA103" s="1" t="n">
        <v>1</v>
      </c>
      <c r="AB103" s="1" t="n">
        <v>33</v>
      </c>
      <c r="AC103" s="1" t="n">
        <v>1</v>
      </c>
      <c r="AD103" s="1" t="n">
        <v>25</v>
      </c>
      <c r="AE103" s="1" t="n">
        <v>2</v>
      </c>
      <c r="AF103" s="1" t="n">
        <v>55</v>
      </c>
      <c r="AG103" s="1" t="n">
        <v>1</v>
      </c>
      <c r="AH103" s="1" t="n">
        <v>35</v>
      </c>
      <c r="AI103" s="1" t="n">
        <v>0</v>
      </c>
      <c r="AJ103" s="1" t="n">
        <v>0</v>
      </c>
      <c r="AK103" s="1" t="n">
        <v>5</v>
      </c>
      <c r="AL103" s="4" t="n">
        <v>148</v>
      </c>
      <c r="AM103" s="21" t="n">
        <v>329413</v>
      </c>
      <c r="AN103" s="21" t="n">
        <v>118831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2" t="n">
        <v>0</v>
      </c>
      <c r="AU103" s="22" t="n">
        <v>1</v>
      </c>
      <c r="AV103" s="1" t="s">
        <v>1385</v>
      </c>
      <c r="AW103" s="22" t="n">
        <v>0</v>
      </c>
      <c r="AY103" s="21" t="n">
        <v>11</v>
      </c>
      <c r="AZ103" s="21" t="n">
        <v>10</v>
      </c>
      <c r="BA103" s="21" t="n">
        <v>21</v>
      </c>
      <c r="BB103" s="1" t="s">
        <v>1386</v>
      </c>
      <c r="BC103" s="22" t="n">
        <v>3</v>
      </c>
      <c r="BD103" s="1" t="s">
        <v>1387</v>
      </c>
      <c r="BE103" s="22" t="n">
        <v>9</v>
      </c>
      <c r="BF103" s="1" t="s">
        <v>1388</v>
      </c>
      <c r="BG103" s="22" t="n">
        <v>1</v>
      </c>
      <c r="BH103" s="21" t="n">
        <v>1212</v>
      </c>
      <c r="BI103" s="21" t="n">
        <v>860</v>
      </c>
      <c r="BJ103" s="23" t="s">
        <v>1389</v>
      </c>
    </row>
    <row r="104" s="1" customFormat="true" ht="14.25" hidden="true" customHeight="false" outlineLevel="0" collapsed="false">
      <c r="A104" s="1" t="s">
        <v>1390</v>
      </c>
      <c r="B104" s="1" t="s">
        <v>1391</v>
      </c>
      <c r="C104" s="1" t="s">
        <v>59</v>
      </c>
      <c r="D104" s="1" t="s">
        <v>60</v>
      </c>
      <c r="E104" s="1" t="s">
        <v>324</v>
      </c>
      <c r="F104" s="1" t="s">
        <v>1392</v>
      </c>
      <c r="G104" s="20" t="s">
        <v>1393</v>
      </c>
      <c r="H104" s="1" t="s">
        <v>1394</v>
      </c>
      <c r="I104" s="1" t="s">
        <v>1395</v>
      </c>
      <c r="J104" s="1" t="s">
        <v>1396</v>
      </c>
      <c r="K104" s="1" t="s">
        <v>1397</v>
      </c>
      <c r="L104" s="1" t="s">
        <v>1398</v>
      </c>
      <c r="M104" s="20" t="n">
        <v>1</v>
      </c>
      <c r="U104" s="1" t="n">
        <v>2</v>
      </c>
      <c r="V104" s="1" t="n">
        <v>0</v>
      </c>
      <c r="W104" s="1" t="n">
        <v>0</v>
      </c>
      <c r="X104" s="1" t="n">
        <v>0</v>
      </c>
      <c r="Y104" s="1" t="n">
        <v>2</v>
      </c>
      <c r="Z104" s="3" t="n">
        <v>46</v>
      </c>
      <c r="AA104" s="1" t="n">
        <v>1</v>
      </c>
      <c r="AB104" s="1" t="n">
        <v>27</v>
      </c>
      <c r="AC104" s="1" t="n">
        <v>2</v>
      </c>
      <c r="AD104" s="1" t="n">
        <v>57</v>
      </c>
      <c r="AE104" s="1" t="n">
        <v>2</v>
      </c>
      <c r="AF104" s="1" t="n">
        <v>57</v>
      </c>
      <c r="AG104" s="1" t="n">
        <v>2</v>
      </c>
      <c r="AH104" s="1" t="n">
        <v>55</v>
      </c>
      <c r="AI104" s="1" t="n">
        <v>0</v>
      </c>
      <c r="AJ104" s="1" t="n">
        <v>0</v>
      </c>
      <c r="AK104" s="1" t="n">
        <v>9</v>
      </c>
      <c r="AL104" s="4" t="n">
        <v>242</v>
      </c>
      <c r="AM104" s="21" t="n">
        <v>618856</v>
      </c>
      <c r="AN104" s="21" t="n">
        <v>184314</v>
      </c>
      <c r="AO104" s="21" t="n">
        <v>0</v>
      </c>
      <c r="AP104" s="21" t="n">
        <v>1725</v>
      </c>
      <c r="AQ104" s="21" t="n">
        <v>11614</v>
      </c>
      <c r="AR104" s="21" t="n">
        <v>1725</v>
      </c>
      <c r="AS104" s="22" t="n">
        <v>0</v>
      </c>
      <c r="AU104" s="22" t="n">
        <v>0</v>
      </c>
      <c r="AW104" s="22" t="n">
        <v>0</v>
      </c>
      <c r="AY104" s="21" t="n">
        <v>17</v>
      </c>
      <c r="AZ104" s="21" t="n">
        <v>18.25</v>
      </c>
      <c r="BA104" s="21" t="n">
        <v>35.25</v>
      </c>
      <c r="BB104" s="1" t="s">
        <v>1399</v>
      </c>
      <c r="BC104" s="22" t="n">
        <v>16</v>
      </c>
      <c r="BD104" s="1" t="s">
        <v>1400</v>
      </c>
      <c r="BE104" s="22" t="n">
        <v>16</v>
      </c>
      <c r="BF104" s="1" t="s">
        <v>1401</v>
      </c>
      <c r="BG104" s="22" t="n">
        <v>1</v>
      </c>
      <c r="BH104" s="21" t="n">
        <v>1263.77</v>
      </c>
      <c r="BI104" s="21" t="n">
        <v>787.72</v>
      </c>
      <c r="BJ104" s="23" t="s">
        <v>71</v>
      </c>
    </row>
    <row r="105" s="1" customFormat="true" ht="14.25" hidden="true" customHeight="false" outlineLevel="0" collapsed="false">
      <c r="A105" s="1" t="s">
        <v>1402</v>
      </c>
      <c r="B105" s="1" t="s">
        <v>1403</v>
      </c>
      <c r="C105" s="1" t="s">
        <v>59</v>
      </c>
      <c r="D105" s="1" t="s">
        <v>60</v>
      </c>
      <c r="E105" s="1" t="s">
        <v>1348</v>
      </c>
      <c r="F105" s="1" t="s">
        <v>1404</v>
      </c>
      <c r="G105" s="20" t="s">
        <v>1405</v>
      </c>
      <c r="H105" s="1" t="s">
        <v>1406</v>
      </c>
      <c r="I105" s="1" t="s">
        <v>1407</v>
      </c>
      <c r="J105" s="1" t="s">
        <v>1408</v>
      </c>
      <c r="K105" s="1" t="s">
        <v>1409</v>
      </c>
      <c r="L105" s="1" t="s">
        <v>1410</v>
      </c>
      <c r="M105" s="20" t="n">
        <v>4</v>
      </c>
      <c r="N105" s="1" t="s">
        <v>1411</v>
      </c>
      <c r="O105" s="1" t="s">
        <v>1412</v>
      </c>
      <c r="P105" s="1" t="s">
        <v>1413</v>
      </c>
      <c r="Q105" s="1" t="s">
        <v>1414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3" t="n">
        <v>0</v>
      </c>
      <c r="AA105" s="1" t="n">
        <v>3</v>
      </c>
      <c r="AB105" s="1" t="n">
        <v>74</v>
      </c>
      <c r="AC105" s="1" t="n">
        <v>3</v>
      </c>
      <c r="AD105" s="1" t="n">
        <v>88</v>
      </c>
      <c r="AE105" s="1" t="n">
        <v>2</v>
      </c>
      <c r="AF105" s="1" t="n">
        <v>58</v>
      </c>
      <c r="AG105" s="1" t="n">
        <v>3</v>
      </c>
      <c r="AH105" s="1" t="n">
        <v>77</v>
      </c>
      <c r="AI105" s="1" t="n">
        <v>0</v>
      </c>
      <c r="AJ105" s="1" t="n">
        <v>0</v>
      </c>
      <c r="AK105" s="1" t="n">
        <v>11</v>
      </c>
      <c r="AL105" s="4" t="n">
        <v>297</v>
      </c>
      <c r="AM105" s="21" t="n">
        <v>810684</v>
      </c>
      <c r="AN105" s="21" t="n">
        <v>240189</v>
      </c>
      <c r="AO105" s="21" t="n">
        <v>0</v>
      </c>
      <c r="AP105" s="21" t="n">
        <v>0</v>
      </c>
      <c r="AQ105" s="21" t="n">
        <v>17049</v>
      </c>
      <c r="AR105" s="21" t="n">
        <v>62</v>
      </c>
      <c r="AS105" s="22" t="n">
        <v>0</v>
      </c>
      <c r="AU105" s="22" t="n">
        <v>0</v>
      </c>
      <c r="AW105" s="22" t="n">
        <v>0</v>
      </c>
      <c r="AY105" s="21" t="n">
        <v>24</v>
      </c>
      <c r="AZ105" s="21" t="n">
        <v>24</v>
      </c>
      <c r="BA105" s="21" t="n">
        <v>48</v>
      </c>
      <c r="BC105" s="22"/>
      <c r="BE105" s="22"/>
      <c r="BG105" s="22"/>
      <c r="BH105" s="21" t="n">
        <v>1364.22</v>
      </c>
      <c r="BI105" s="21" t="n">
        <v>847.48</v>
      </c>
      <c r="BJ105" s="23" t="s">
        <v>71</v>
      </c>
    </row>
    <row r="106" s="1" customFormat="true" ht="14.25" hidden="true" customHeight="false" outlineLevel="0" collapsed="false">
      <c r="A106" s="1" t="s">
        <v>1415</v>
      </c>
      <c r="B106" s="1" t="s">
        <v>1416</v>
      </c>
      <c r="C106" s="1" t="s">
        <v>59</v>
      </c>
      <c r="D106" s="1" t="s">
        <v>60</v>
      </c>
      <c r="E106" s="1" t="s">
        <v>324</v>
      </c>
      <c r="F106" s="1" t="s">
        <v>1417</v>
      </c>
      <c r="G106" s="20" t="s">
        <v>1418</v>
      </c>
      <c r="H106" s="1" t="s">
        <v>1419</v>
      </c>
      <c r="I106" s="1" t="s">
        <v>1420</v>
      </c>
      <c r="J106" s="1" t="s">
        <v>1421</v>
      </c>
      <c r="K106" s="1" t="s">
        <v>1422</v>
      </c>
      <c r="L106" s="1" t="s">
        <v>1423</v>
      </c>
      <c r="M106" s="20" t="n">
        <v>2</v>
      </c>
      <c r="N106" s="1" t="s">
        <v>1424</v>
      </c>
      <c r="U106" s="1" t="n">
        <v>1</v>
      </c>
      <c r="V106" s="1" t="n">
        <v>0</v>
      </c>
      <c r="W106" s="1" t="n">
        <v>0</v>
      </c>
      <c r="X106" s="1" t="n">
        <v>0</v>
      </c>
      <c r="Y106" s="1" t="n">
        <v>2</v>
      </c>
      <c r="Z106" s="3" t="n">
        <v>49</v>
      </c>
      <c r="AA106" s="1" t="n">
        <v>2</v>
      </c>
      <c r="AB106" s="1" t="n">
        <v>51</v>
      </c>
      <c r="AC106" s="1" t="n">
        <v>2</v>
      </c>
      <c r="AD106" s="1" t="n">
        <v>57</v>
      </c>
      <c r="AE106" s="1" t="n">
        <v>2</v>
      </c>
      <c r="AF106" s="1" t="n">
        <v>60</v>
      </c>
      <c r="AG106" s="1" t="n">
        <v>1</v>
      </c>
      <c r="AH106" s="1" t="n">
        <v>27</v>
      </c>
      <c r="AI106" s="1" t="n">
        <v>0</v>
      </c>
      <c r="AJ106" s="1" t="n">
        <v>0</v>
      </c>
      <c r="AK106" s="1" t="n">
        <v>9</v>
      </c>
      <c r="AL106" s="4" t="n">
        <v>244</v>
      </c>
      <c r="AM106" s="21" t="n">
        <v>566633</v>
      </c>
      <c r="AN106" s="21" t="n">
        <v>196406</v>
      </c>
      <c r="AO106" s="21" t="n">
        <v>0</v>
      </c>
      <c r="AP106" s="21" t="n">
        <v>641.08</v>
      </c>
      <c r="AQ106" s="21" t="n">
        <v>9906</v>
      </c>
      <c r="AR106" s="21" t="n">
        <v>0</v>
      </c>
      <c r="AS106" s="22" t="n">
        <v>0</v>
      </c>
      <c r="AU106" s="22" t="n">
        <v>0</v>
      </c>
      <c r="AW106" s="22" t="n">
        <v>0</v>
      </c>
      <c r="AY106" s="21" t="n">
        <v>16.5</v>
      </c>
      <c r="AZ106" s="21" t="n">
        <v>19.75</v>
      </c>
      <c r="BA106" s="21" t="n">
        <v>36.25</v>
      </c>
      <c r="BB106" s="1" t="s">
        <v>1425</v>
      </c>
      <c r="BC106" s="22" t="n">
        <v>14</v>
      </c>
      <c r="BD106" s="1" t="s">
        <v>1426</v>
      </c>
      <c r="BE106" s="22" t="n">
        <v>13</v>
      </c>
      <c r="BG106" s="22"/>
      <c r="BH106" s="21" t="n">
        <v>1350.33</v>
      </c>
      <c r="BI106" s="21" t="n">
        <v>778.04</v>
      </c>
      <c r="BJ106" s="23" t="s">
        <v>268</v>
      </c>
    </row>
    <row r="107" s="1" customFormat="true" ht="14.25" hidden="true" customHeight="false" outlineLevel="0" collapsed="false">
      <c r="A107" s="1" t="s">
        <v>1427</v>
      </c>
      <c r="B107" s="1" t="s">
        <v>1428</v>
      </c>
      <c r="C107" s="1" t="s">
        <v>59</v>
      </c>
      <c r="D107" s="1" t="s">
        <v>60</v>
      </c>
      <c r="E107" s="1" t="s">
        <v>638</v>
      </c>
      <c r="F107" s="1" t="s">
        <v>1429</v>
      </c>
      <c r="G107" s="20" t="s">
        <v>1430</v>
      </c>
      <c r="H107" s="1" t="s">
        <v>1431</v>
      </c>
      <c r="I107" s="1" t="s">
        <v>1432</v>
      </c>
      <c r="J107" s="1" t="s">
        <v>1433</v>
      </c>
      <c r="K107" s="1" t="s">
        <v>1434</v>
      </c>
      <c r="L107" s="1" t="s">
        <v>1435</v>
      </c>
      <c r="M107" s="20" t="n">
        <v>1</v>
      </c>
      <c r="N107" s="1" t="s">
        <v>1429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3" t="n">
        <v>0</v>
      </c>
      <c r="AA107" s="1" t="n">
        <v>1</v>
      </c>
      <c r="AB107" s="1" t="n">
        <v>25</v>
      </c>
      <c r="AC107" s="1" t="n">
        <v>1</v>
      </c>
      <c r="AD107" s="1" t="n">
        <v>31</v>
      </c>
      <c r="AE107" s="1" t="n">
        <v>1</v>
      </c>
      <c r="AF107" s="1" t="n">
        <v>29</v>
      </c>
      <c r="AG107" s="1" t="n">
        <v>1</v>
      </c>
      <c r="AH107" s="1" t="n">
        <v>31</v>
      </c>
      <c r="AI107" s="1" t="n">
        <v>0</v>
      </c>
      <c r="AJ107" s="1" t="n">
        <v>0</v>
      </c>
      <c r="AK107" s="1" t="n">
        <v>4</v>
      </c>
      <c r="AL107" s="4" t="n">
        <v>116</v>
      </c>
      <c r="AM107" s="21" t="n">
        <v>360287</v>
      </c>
      <c r="AN107" s="21" t="n">
        <v>85928</v>
      </c>
      <c r="AO107" s="21" t="n">
        <v>0</v>
      </c>
      <c r="AP107" s="21" t="n">
        <v>0</v>
      </c>
      <c r="AQ107" s="21" t="n">
        <v>6887</v>
      </c>
      <c r="AR107" s="21" t="n">
        <v>0</v>
      </c>
      <c r="AS107" s="22" t="n">
        <v>0</v>
      </c>
      <c r="AU107" s="22" t="n">
        <v>0</v>
      </c>
      <c r="AW107" s="22" t="n">
        <v>0</v>
      </c>
      <c r="AY107" s="21" t="n">
        <v>9.5</v>
      </c>
      <c r="AZ107" s="21" t="n">
        <v>9.25</v>
      </c>
      <c r="BA107" s="21" t="n">
        <v>18.75</v>
      </c>
      <c r="BB107" s="1" t="s">
        <v>1436</v>
      </c>
      <c r="BC107" s="22" t="n">
        <v>2</v>
      </c>
      <c r="BD107" s="1" t="s">
        <v>1437</v>
      </c>
      <c r="BE107" s="22" t="n">
        <v>7</v>
      </c>
      <c r="BG107" s="22"/>
      <c r="BH107" s="21" t="n">
        <v>1393.16</v>
      </c>
      <c r="BI107" s="21" t="n">
        <v>867.27</v>
      </c>
      <c r="BJ107" s="23" t="s">
        <v>173</v>
      </c>
    </row>
    <row r="108" s="1" customFormat="true" ht="14.25" hidden="true" customHeight="false" outlineLevel="0" collapsed="false">
      <c r="A108" s="1" t="s">
        <v>1438</v>
      </c>
      <c r="B108" s="1" t="s">
        <v>1439</v>
      </c>
      <c r="C108" s="1" t="s">
        <v>59</v>
      </c>
      <c r="D108" s="1" t="s">
        <v>60</v>
      </c>
      <c r="E108" s="1" t="s">
        <v>162</v>
      </c>
      <c r="F108" s="1" t="s">
        <v>1440</v>
      </c>
      <c r="G108" s="20" t="s">
        <v>1441</v>
      </c>
      <c r="H108" s="1" t="s">
        <v>1442</v>
      </c>
      <c r="I108" s="1" t="s">
        <v>1443</v>
      </c>
      <c r="J108" s="1" t="s">
        <v>1444</v>
      </c>
      <c r="K108" s="1" t="s">
        <v>1445</v>
      </c>
      <c r="L108" s="1" t="s">
        <v>1446</v>
      </c>
      <c r="M108" s="20" t="n">
        <v>1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3" t="n">
        <v>0</v>
      </c>
      <c r="AA108" s="1" t="n">
        <v>1</v>
      </c>
      <c r="AB108" s="1" t="n">
        <v>25</v>
      </c>
      <c r="AC108" s="1" t="n">
        <v>1</v>
      </c>
      <c r="AD108" s="1" t="n">
        <v>31</v>
      </c>
      <c r="AE108" s="1" t="n">
        <v>1</v>
      </c>
      <c r="AF108" s="1" t="n">
        <v>27</v>
      </c>
      <c r="AG108" s="1" t="n">
        <v>1</v>
      </c>
      <c r="AH108" s="1" t="n">
        <v>32</v>
      </c>
      <c r="AI108" s="1" t="n">
        <v>0</v>
      </c>
      <c r="AJ108" s="1" t="n">
        <v>0</v>
      </c>
      <c r="AK108" s="1" t="n">
        <v>4</v>
      </c>
      <c r="AL108" s="4" t="n">
        <v>115</v>
      </c>
      <c r="AM108" s="21" t="n">
        <v>325960</v>
      </c>
      <c r="AN108" s="21" t="n">
        <v>84606</v>
      </c>
      <c r="AO108" s="21" t="n">
        <v>0</v>
      </c>
      <c r="AP108" s="21" t="n">
        <v>0</v>
      </c>
      <c r="AQ108" s="21" t="n">
        <v>5814</v>
      </c>
      <c r="AR108" s="21" t="n">
        <v>0</v>
      </c>
      <c r="AS108" s="22" t="n">
        <v>0</v>
      </c>
      <c r="AU108" s="22" t="n">
        <v>0</v>
      </c>
      <c r="AW108" s="22" t="n">
        <v>0</v>
      </c>
      <c r="AY108" s="21" t="n">
        <v>9.5</v>
      </c>
      <c r="AZ108" s="21" t="n">
        <v>8.5</v>
      </c>
      <c r="BA108" s="21" t="n">
        <v>18</v>
      </c>
      <c r="BB108" s="1" t="s">
        <v>1447</v>
      </c>
      <c r="BC108" s="22" t="n">
        <v>4</v>
      </c>
      <c r="BD108" s="1" t="s">
        <v>1448</v>
      </c>
      <c r="BE108" s="22" t="n">
        <v>6</v>
      </c>
      <c r="BF108" s="1" t="s">
        <v>1449</v>
      </c>
      <c r="BG108" s="22" t="n">
        <v>10</v>
      </c>
      <c r="BH108" s="21" t="n">
        <v>1329.01</v>
      </c>
      <c r="BI108" s="21" t="n">
        <v>869.93</v>
      </c>
      <c r="BJ108" s="23" t="s">
        <v>173</v>
      </c>
    </row>
    <row r="109" s="1" customFormat="true" ht="14.25" hidden="true" customHeight="false" outlineLevel="0" collapsed="false">
      <c r="A109" s="1" t="s">
        <v>1450</v>
      </c>
      <c r="B109" s="1" t="s">
        <v>1451</v>
      </c>
      <c r="C109" s="1" t="s">
        <v>59</v>
      </c>
      <c r="D109" s="1" t="s">
        <v>60</v>
      </c>
      <c r="E109" s="1" t="s">
        <v>235</v>
      </c>
      <c r="F109" s="1" t="s">
        <v>1452</v>
      </c>
      <c r="G109" s="20" t="s">
        <v>1453</v>
      </c>
      <c r="H109" s="1" t="s">
        <v>1454</v>
      </c>
      <c r="I109" s="1" t="s">
        <v>1455</v>
      </c>
      <c r="J109" s="1" t="s">
        <v>1456</v>
      </c>
      <c r="K109" s="1" t="s">
        <v>1457</v>
      </c>
      <c r="L109" s="1" t="s">
        <v>1458</v>
      </c>
      <c r="M109" s="20" t="n">
        <v>2</v>
      </c>
      <c r="N109" s="1" t="s">
        <v>1459</v>
      </c>
      <c r="O109" s="1" t="s">
        <v>1460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1</v>
      </c>
      <c r="Z109" s="3" t="n">
        <v>20</v>
      </c>
      <c r="AA109" s="1" t="n">
        <v>2</v>
      </c>
      <c r="AB109" s="1" t="n">
        <v>48</v>
      </c>
      <c r="AC109" s="1" t="n">
        <v>2</v>
      </c>
      <c r="AD109" s="1" t="n">
        <v>60</v>
      </c>
      <c r="AE109" s="1" t="n">
        <v>3</v>
      </c>
      <c r="AF109" s="1" t="n">
        <v>88</v>
      </c>
      <c r="AG109" s="1" t="n">
        <v>3</v>
      </c>
      <c r="AH109" s="1" t="n">
        <v>76</v>
      </c>
      <c r="AI109" s="1" t="n">
        <v>0</v>
      </c>
      <c r="AJ109" s="1" t="n">
        <v>0</v>
      </c>
      <c r="AK109" s="1" t="n">
        <v>11</v>
      </c>
      <c r="AL109" s="4" t="n">
        <v>292</v>
      </c>
      <c r="AM109" s="21" t="n">
        <v>715.678</v>
      </c>
      <c r="AN109" s="21" t="n">
        <v>204.14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2" t="n">
        <v>0</v>
      </c>
      <c r="AU109" s="22" t="n">
        <v>0</v>
      </c>
      <c r="AW109" s="22" t="n">
        <v>0</v>
      </c>
      <c r="AY109" s="21" t="n">
        <v>22.5</v>
      </c>
      <c r="AZ109" s="21" t="n">
        <v>22.5</v>
      </c>
      <c r="BA109" s="21" t="n">
        <v>45</v>
      </c>
      <c r="BB109" s="1" t="s">
        <v>1461</v>
      </c>
      <c r="BC109" s="22" t="n">
        <v>20</v>
      </c>
      <c r="BD109" s="1" t="s">
        <v>818</v>
      </c>
      <c r="BE109" s="22" t="n">
        <v>17</v>
      </c>
      <c r="BG109" s="22"/>
      <c r="BH109" s="21" t="n">
        <v>1261.98</v>
      </c>
      <c r="BI109" s="21" t="n">
        <v>777.21</v>
      </c>
      <c r="BJ109" s="23" t="s">
        <v>186</v>
      </c>
    </row>
    <row r="110" s="1" customFormat="true" ht="14.25" hidden="true" customHeight="false" outlineLevel="0" collapsed="false">
      <c r="A110" s="1" t="s">
        <v>1462</v>
      </c>
      <c r="B110" s="1" t="s">
        <v>1463</v>
      </c>
      <c r="C110" s="1" t="s">
        <v>59</v>
      </c>
      <c r="D110" s="1" t="s">
        <v>234</v>
      </c>
      <c r="E110" s="1" t="s">
        <v>204</v>
      </c>
      <c r="F110" s="1" t="s">
        <v>1464</v>
      </c>
      <c r="G110" s="20" t="s">
        <v>1465</v>
      </c>
      <c r="H110" s="1" t="s">
        <v>1466</v>
      </c>
      <c r="I110" s="1" t="s">
        <v>1467</v>
      </c>
      <c r="K110" s="1" t="s">
        <v>1468</v>
      </c>
      <c r="L110" s="1" t="s">
        <v>1469</v>
      </c>
      <c r="M110" s="20" t="n">
        <v>1</v>
      </c>
      <c r="N110" s="1" t="s">
        <v>1464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2</v>
      </c>
      <c r="Z110" s="3" t="n">
        <v>50</v>
      </c>
      <c r="AA110" s="1" t="n">
        <v>2</v>
      </c>
      <c r="AB110" s="1" t="n">
        <v>49</v>
      </c>
      <c r="AC110" s="1" t="n">
        <v>2</v>
      </c>
      <c r="AD110" s="1" t="n">
        <v>58</v>
      </c>
      <c r="AE110" s="1" t="n">
        <v>1</v>
      </c>
      <c r="AF110" s="1" t="n">
        <v>30</v>
      </c>
      <c r="AG110" s="1" t="n">
        <v>2</v>
      </c>
      <c r="AH110" s="1" t="n">
        <v>46</v>
      </c>
      <c r="AI110" s="1" t="n">
        <v>0</v>
      </c>
      <c r="AJ110" s="1" t="n">
        <v>0</v>
      </c>
      <c r="AK110" s="1" t="n">
        <v>9</v>
      </c>
      <c r="AL110" s="4" t="n">
        <v>233</v>
      </c>
      <c r="AM110" s="21" t="n">
        <v>588777</v>
      </c>
      <c r="AN110" s="21" t="n">
        <v>170386</v>
      </c>
      <c r="AO110" s="21" t="n">
        <v>0</v>
      </c>
      <c r="AP110" s="21" t="n">
        <v>0</v>
      </c>
      <c r="AQ110" s="21" t="n">
        <v>9465</v>
      </c>
      <c r="AR110" s="21" t="n">
        <v>0</v>
      </c>
      <c r="AS110" s="22" t="n">
        <v>0</v>
      </c>
      <c r="AU110" s="22" t="n">
        <v>1</v>
      </c>
      <c r="AV110" s="1" t="s">
        <v>516</v>
      </c>
      <c r="AW110" s="22" t="n">
        <v>0</v>
      </c>
      <c r="AY110" s="21" t="n">
        <v>17</v>
      </c>
      <c r="AZ110" s="21" t="n">
        <v>21</v>
      </c>
      <c r="BA110" s="21" t="n">
        <v>38</v>
      </c>
      <c r="BB110" s="1" t="s">
        <v>1470</v>
      </c>
      <c r="BC110" s="22" t="n">
        <v>17</v>
      </c>
      <c r="BE110" s="22"/>
      <c r="BG110" s="22"/>
      <c r="BH110" s="21" t="n">
        <v>1286</v>
      </c>
      <c r="BI110" s="21" t="n">
        <v>820</v>
      </c>
      <c r="BJ110" s="23" t="s">
        <v>186</v>
      </c>
    </row>
    <row r="111" s="1" customFormat="true" ht="28.35" hidden="true" customHeight="false" outlineLevel="0" collapsed="false">
      <c r="A111" s="1" t="s">
        <v>1471</v>
      </c>
      <c r="B111" s="1" t="s">
        <v>1472</v>
      </c>
      <c r="C111" s="1" t="s">
        <v>59</v>
      </c>
      <c r="D111" s="1" t="s">
        <v>60</v>
      </c>
      <c r="E111" s="1" t="s">
        <v>324</v>
      </c>
      <c r="F111" s="1" t="s">
        <v>1473</v>
      </c>
      <c r="G111" s="20" t="s">
        <v>1474</v>
      </c>
      <c r="H111" s="1" t="s">
        <v>1475</v>
      </c>
      <c r="I111" s="1" t="s">
        <v>1476</v>
      </c>
      <c r="J111" s="1" t="s">
        <v>1477</v>
      </c>
      <c r="K111" s="1" t="s">
        <v>1478</v>
      </c>
      <c r="L111" s="27" t="s">
        <v>1479</v>
      </c>
      <c r="M111" s="20" t="n">
        <v>2</v>
      </c>
      <c r="N111" s="1" t="s">
        <v>1480</v>
      </c>
      <c r="O111" s="1" t="s">
        <v>1481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1</v>
      </c>
      <c r="Z111" s="3" t="n">
        <v>24</v>
      </c>
      <c r="AA111" s="1" t="n">
        <v>2</v>
      </c>
      <c r="AB111" s="1" t="n">
        <v>47</v>
      </c>
      <c r="AC111" s="1" t="n">
        <v>2</v>
      </c>
      <c r="AD111" s="1" t="n">
        <v>46</v>
      </c>
      <c r="AE111" s="1" t="n">
        <v>2</v>
      </c>
      <c r="AF111" s="1" t="n">
        <v>51</v>
      </c>
      <c r="AG111" s="1" t="n">
        <v>1</v>
      </c>
      <c r="AH111" s="1" t="n">
        <v>29</v>
      </c>
      <c r="AI111" s="1" t="n">
        <v>0</v>
      </c>
      <c r="AJ111" s="1" t="n">
        <v>0</v>
      </c>
      <c r="AK111" s="1" t="n">
        <v>8</v>
      </c>
      <c r="AL111" s="4" t="n">
        <v>197</v>
      </c>
      <c r="AM111" s="21" t="n">
        <v>509302</v>
      </c>
      <c r="AN111" s="21" t="n">
        <v>146273</v>
      </c>
      <c r="AO111" s="21" t="n">
        <v>2000</v>
      </c>
      <c r="AP111" s="21" t="n">
        <v>0</v>
      </c>
      <c r="AQ111" s="21" t="n">
        <v>7844</v>
      </c>
      <c r="AR111" s="21" t="n">
        <v>0</v>
      </c>
      <c r="AS111" s="22" t="n">
        <v>0</v>
      </c>
      <c r="AU111" s="22" t="n">
        <v>1</v>
      </c>
      <c r="AV111" s="1" t="s">
        <v>1482</v>
      </c>
      <c r="AW111" s="22" t="n">
        <v>0</v>
      </c>
      <c r="AY111" s="21" t="n">
        <v>15.5</v>
      </c>
      <c r="AZ111" s="21" t="n">
        <v>19.5</v>
      </c>
      <c r="BA111" s="21" t="n">
        <v>35</v>
      </c>
      <c r="BB111" s="1" t="s">
        <v>1483</v>
      </c>
      <c r="BC111" s="22" t="n">
        <v>16</v>
      </c>
      <c r="BD111" s="1" t="s">
        <v>1484</v>
      </c>
      <c r="BE111" s="22" t="n">
        <v>15</v>
      </c>
      <c r="BG111" s="22"/>
      <c r="BH111" s="21" t="n">
        <v>1399</v>
      </c>
      <c r="BI111" s="21" t="n">
        <v>740</v>
      </c>
      <c r="BJ111" s="23" t="s">
        <v>173</v>
      </c>
    </row>
    <row r="112" s="1" customFormat="true" ht="14.25" hidden="true" customHeight="false" outlineLevel="0" collapsed="false">
      <c r="A112" s="1" t="s">
        <v>1485</v>
      </c>
      <c r="B112" s="1" t="s">
        <v>1486</v>
      </c>
      <c r="C112" s="1" t="s">
        <v>59</v>
      </c>
      <c r="D112" s="1" t="s">
        <v>60</v>
      </c>
      <c r="E112" s="1" t="s">
        <v>312</v>
      </c>
      <c r="F112" s="1" t="s">
        <v>1487</v>
      </c>
      <c r="G112" s="20" t="s">
        <v>1488</v>
      </c>
      <c r="H112" s="1" t="s">
        <v>1489</v>
      </c>
      <c r="I112" s="1" t="s">
        <v>1490</v>
      </c>
      <c r="J112" s="1" t="s">
        <v>1491</v>
      </c>
      <c r="K112" s="1" t="s">
        <v>1492</v>
      </c>
      <c r="L112" s="1" t="s">
        <v>1493</v>
      </c>
      <c r="M112" s="20" t="n">
        <v>1</v>
      </c>
      <c r="U112" s="1" t="n">
        <v>1</v>
      </c>
      <c r="V112" s="1" t="n">
        <v>0</v>
      </c>
      <c r="W112" s="1" t="n">
        <v>0</v>
      </c>
      <c r="X112" s="1" t="n">
        <v>0</v>
      </c>
      <c r="Y112" s="1" t="n">
        <v>0</v>
      </c>
      <c r="Z112" s="3" t="n">
        <v>0</v>
      </c>
      <c r="AA112" s="1" t="n">
        <v>1</v>
      </c>
      <c r="AB112" s="1" t="n">
        <v>25</v>
      </c>
      <c r="AC112" s="1" t="n">
        <v>1</v>
      </c>
      <c r="AD112" s="1" t="n">
        <v>30</v>
      </c>
      <c r="AE112" s="1" t="n">
        <v>1</v>
      </c>
      <c r="AF112" s="1" t="n">
        <v>30</v>
      </c>
      <c r="AG112" s="1" t="n">
        <v>1</v>
      </c>
      <c r="AH112" s="1" t="n">
        <v>28</v>
      </c>
      <c r="AI112" s="1" t="n">
        <v>0</v>
      </c>
      <c r="AJ112" s="1" t="n">
        <v>0</v>
      </c>
      <c r="AK112" s="1" t="n">
        <v>4</v>
      </c>
      <c r="AL112" s="4" t="n">
        <v>113</v>
      </c>
      <c r="AM112" s="21" t="n">
        <v>354489</v>
      </c>
      <c r="AN112" s="21" t="n">
        <v>82096</v>
      </c>
      <c r="AO112" s="21" t="n">
        <v>0</v>
      </c>
      <c r="AP112" s="21" t="n">
        <v>0</v>
      </c>
      <c r="AQ112" s="21" t="n">
        <v>66555</v>
      </c>
      <c r="AR112" s="21" t="n">
        <v>0</v>
      </c>
      <c r="AS112" s="22" t="n">
        <v>0</v>
      </c>
      <c r="AU112" s="22" t="n">
        <v>0</v>
      </c>
      <c r="AW112" s="22" t="n">
        <v>0</v>
      </c>
      <c r="AY112" s="21" t="n">
        <v>10</v>
      </c>
      <c r="AZ112" s="21" t="n">
        <v>9</v>
      </c>
      <c r="BA112" s="21" t="n">
        <v>19</v>
      </c>
      <c r="BB112" s="1" t="s">
        <v>1494</v>
      </c>
      <c r="BC112" s="22" t="n">
        <v>19</v>
      </c>
      <c r="BD112" s="1" t="s">
        <v>1495</v>
      </c>
      <c r="BE112" s="22" t="n">
        <v>1</v>
      </c>
      <c r="BF112" s="1" t="s">
        <v>1496</v>
      </c>
      <c r="BG112" s="22" t="n">
        <v>5</v>
      </c>
      <c r="BH112" s="21" t="n">
        <v>1238.15</v>
      </c>
      <c r="BI112" s="21" t="n">
        <v>831.56</v>
      </c>
      <c r="BJ112" s="23" t="s">
        <v>71</v>
      </c>
    </row>
    <row r="113" s="1" customFormat="true" ht="28.35" hidden="true" customHeight="false" outlineLevel="0" collapsed="false">
      <c r="A113" s="1" t="s">
        <v>1497</v>
      </c>
      <c r="B113" s="1" t="s">
        <v>1498</v>
      </c>
      <c r="C113" s="1" t="s">
        <v>59</v>
      </c>
      <c r="D113" s="1" t="s">
        <v>60</v>
      </c>
      <c r="E113" s="1" t="s">
        <v>105</v>
      </c>
      <c r="F113" s="1" t="s">
        <v>1499</v>
      </c>
      <c r="G113" s="20" t="s">
        <v>1500</v>
      </c>
      <c r="H113" s="1" t="s">
        <v>1501</v>
      </c>
      <c r="I113" s="1" t="s">
        <v>1502</v>
      </c>
      <c r="J113" s="1" t="s">
        <v>1503</v>
      </c>
      <c r="K113" s="1" t="s">
        <v>1504</v>
      </c>
      <c r="L113" s="1" t="s">
        <v>1505</v>
      </c>
      <c r="M113" s="20" t="n">
        <v>2</v>
      </c>
      <c r="N113" s="27" t="s">
        <v>1506</v>
      </c>
      <c r="O113" s="1" t="s">
        <v>1507</v>
      </c>
      <c r="U113" s="1" t="n">
        <v>2</v>
      </c>
      <c r="V113" s="1" t="n">
        <v>0</v>
      </c>
      <c r="W113" s="1" t="n">
        <v>2</v>
      </c>
      <c r="X113" s="1" t="n">
        <v>2</v>
      </c>
      <c r="Y113" s="1" t="n">
        <v>0</v>
      </c>
      <c r="Z113" s="3" t="n">
        <v>0</v>
      </c>
      <c r="AA113" s="1" t="n">
        <v>2</v>
      </c>
      <c r="AB113" s="1" t="n">
        <v>46</v>
      </c>
      <c r="AC113" s="1" t="n">
        <v>1</v>
      </c>
      <c r="AD113" s="1" t="n">
        <v>28</v>
      </c>
      <c r="AE113" s="1" t="n">
        <v>2</v>
      </c>
      <c r="AF113" s="1" t="n">
        <v>56</v>
      </c>
      <c r="AG113" s="1" t="n">
        <v>2</v>
      </c>
      <c r="AH113" s="1" t="n">
        <v>40</v>
      </c>
      <c r="AI113" s="1" t="n">
        <v>1</v>
      </c>
      <c r="AJ113" s="1" t="n">
        <v>12</v>
      </c>
      <c r="AK113" s="1" t="n">
        <v>8</v>
      </c>
      <c r="AL113" s="4" t="n">
        <v>182</v>
      </c>
      <c r="AM113" s="21" t="n">
        <v>613123</v>
      </c>
      <c r="AN113" s="21" t="n">
        <v>155492</v>
      </c>
      <c r="AO113" s="21" t="n">
        <v>0</v>
      </c>
      <c r="AP113" s="21" t="n">
        <v>0</v>
      </c>
      <c r="AQ113" s="21" t="n">
        <v>9119</v>
      </c>
      <c r="AR113" s="21" t="n">
        <v>0</v>
      </c>
      <c r="AS113" s="22" t="n">
        <v>0</v>
      </c>
      <c r="AU113" s="22" t="n">
        <v>1</v>
      </c>
      <c r="AV113" s="1" t="s">
        <v>1508</v>
      </c>
      <c r="AW113" s="22" t="n">
        <v>0</v>
      </c>
      <c r="AY113" s="21" t="n">
        <v>20.5</v>
      </c>
      <c r="AZ113" s="21" t="n">
        <v>15.5</v>
      </c>
      <c r="BA113" s="21" t="n">
        <v>36</v>
      </c>
      <c r="BB113" s="1" t="s">
        <v>1509</v>
      </c>
      <c r="BC113" s="22" t="n">
        <v>1</v>
      </c>
      <c r="BD113" s="1" t="s">
        <v>1510</v>
      </c>
      <c r="BE113" s="22" t="n">
        <v>20</v>
      </c>
      <c r="BF113" s="1" t="s">
        <v>1511</v>
      </c>
      <c r="BG113" s="22" t="n">
        <v>2</v>
      </c>
      <c r="BH113" s="21" t="n">
        <v>829.72</v>
      </c>
      <c r="BI113" s="21" t="n">
        <v>1299.99</v>
      </c>
      <c r="BJ113" s="23" t="s">
        <v>147</v>
      </c>
    </row>
    <row r="114" s="1" customFormat="true" ht="14.25" hidden="true" customHeight="false" outlineLevel="0" collapsed="false">
      <c r="A114" s="1" t="s">
        <v>1512</v>
      </c>
      <c r="B114" s="1" t="s">
        <v>1513</v>
      </c>
      <c r="C114" s="1" t="s">
        <v>59</v>
      </c>
      <c r="D114" s="1" t="s">
        <v>60</v>
      </c>
      <c r="E114" s="1" t="s">
        <v>298</v>
      </c>
      <c r="F114" s="1" t="s">
        <v>1514</v>
      </c>
      <c r="G114" s="20" t="s">
        <v>1515</v>
      </c>
      <c r="H114" s="1" t="s">
        <v>1516</v>
      </c>
      <c r="I114" s="1" t="s">
        <v>1517</v>
      </c>
      <c r="J114" s="1" t="s">
        <v>1518</v>
      </c>
      <c r="K114" s="1" t="s">
        <v>1519</v>
      </c>
      <c r="L114" s="1" t="s">
        <v>1520</v>
      </c>
      <c r="M114" s="20" t="n">
        <v>2</v>
      </c>
      <c r="N114" s="1" t="s">
        <v>1521</v>
      </c>
      <c r="O114" s="1" t="s">
        <v>1522</v>
      </c>
      <c r="U114" s="1" t="n">
        <v>1</v>
      </c>
      <c r="V114" s="1" t="n">
        <v>0</v>
      </c>
      <c r="W114" s="1" t="n">
        <v>0</v>
      </c>
      <c r="X114" s="1" t="n">
        <v>0</v>
      </c>
      <c r="Y114" s="1" t="n">
        <v>0</v>
      </c>
      <c r="Z114" s="3" t="n">
        <v>0</v>
      </c>
      <c r="AA114" s="1" t="n">
        <v>1</v>
      </c>
      <c r="AB114" s="1" t="n">
        <v>25</v>
      </c>
      <c r="AC114" s="1" t="n">
        <v>2</v>
      </c>
      <c r="AD114" s="1" t="n">
        <v>59</v>
      </c>
      <c r="AE114" s="1" t="n">
        <v>2</v>
      </c>
      <c r="AF114" s="1" t="n">
        <v>66</v>
      </c>
      <c r="AG114" s="1" t="n">
        <v>2</v>
      </c>
      <c r="AH114" s="1" t="n">
        <v>56</v>
      </c>
      <c r="AI114" s="1" t="n">
        <v>0</v>
      </c>
      <c r="AJ114" s="1" t="n">
        <v>0</v>
      </c>
      <c r="AK114" s="1" t="n">
        <v>7</v>
      </c>
      <c r="AL114" s="4" t="n">
        <v>206</v>
      </c>
      <c r="AM114" s="21" t="n">
        <v>577644</v>
      </c>
      <c r="AN114" s="21" t="n">
        <v>164893</v>
      </c>
      <c r="AO114" s="21" t="n">
        <v>1350</v>
      </c>
      <c r="AP114" s="21" t="n">
        <v>0</v>
      </c>
      <c r="AQ114" s="21" t="n">
        <v>0</v>
      </c>
      <c r="AR114" s="21" t="n">
        <v>0</v>
      </c>
      <c r="AS114" s="22" t="n">
        <v>0</v>
      </c>
      <c r="AU114" s="22" t="n">
        <v>1</v>
      </c>
      <c r="AV114" s="1" t="s">
        <v>1523</v>
      </c>
      <c r="AW114" s="22" t="n">
        <v>0</v>
      </c>
      <c r="AY114" s="21" t="n">
        <v>15.5</v>
      </c>
      <c r="AZ114" s="21" t="n">
        <v>15.5</v>
      </c>
      <c r="BA114" s="21" t="n">
        <v>31</v>
      </c>
      <c r="BB114" s="1" t="s">
        <v>1524</v>
      </c>
      <c r="BC114" s="22" t="n">
        <v>14</v>
      </c>
      <c r="BD114" s="1" t="s">
        <v>1525</v>
      </c>
      <c r="BE114" s="22" t="n">
        <v>14</v>
      </c>
      <c r="BF114" s="1" t="s">
        <v>1526</v>
      </c>
      <c r="BG114" s="22" t="n">
        <v>14</v>
      </c>
      <c r="BH114" s="21" t="n">
        <v>1400.15</v>
      </c>
      <c r="BI114" s="21" t="n">
        <v>806.45</v>
      </c>
      <c r="BJ114" s="23" t="s">
        <v>101</v>
      </c>
    </row>
    <row r="115" s="1" customFormat="true" ht="14.25" hidden="true" customHeight="false" outlineLevel="0" collapsed="false">
      <c r="A115" s="1" t="s">
        <v>1527</v>
      </c>
      <c r="B115" s="1" t="s">
        <v>1528</v>
      </c>
      <c r="C115" s="1" t="s">
        <v>59</v>
      </c>
      <c r="D115" s="1" t="s">
        <v>1529</v>
      </c>
      <c r="E115" s="1" t="s">
        <v>1375</v>
      </c>
      <c r="F115" s="1" t="s">
        <v>1530</v>
      </c>
      <c r="G115" s="20" t="s">
        <v>1531</v>
      </c>
      <c r="H115" s="1" t="s">
        <v>1532</v>
      </c>
      <c r="I115" s="1" t="s">
        <v>1533</v>
      </c>
      <c r="J115" s="1" t="s">
        <v>1534</v>
      </c>
      <c r="K115" s="1" t="s">
        <v>1535</v>
      </c>
      <c r="L115" s="1" t="s">
        <v>1536</v>
      </c>
      <c r="M115" s="20" t="n">
        <v>1</v>
      </c>
      <c r="N115" s="1" t="s">
        <v>1537</v>
      </c>
      <c r="U115" s="1" t="n">
        <v>2</v>
      </c>
      <c r="V115" s="1" t="n">
        <v>2</v>
      </c>
      <c r="W115" s="1" t="n">
        <v>1</v>
      </c>
      <c r="X115" s="1" t="n">
        <v>4</v>
      </c>
      <c r="Y115" s="1" t="n">
        <v>1</v>
      </c>
      <c r="Z115" s="3" t="n">
        <v>23</v>
      </c>
      <c r="AA115" s="1" t="n">
        <v>1</v>
      </c>
      <c r="AB115" s="1" t="n">
        <v>28</v>
      </c>
      <c r="AC115" s="1" t="n">
        <v>0</v>
      </c>
      <c r="AD115" s="1" t="n">
        <v>0</v>
      </c>
      <c r="AE115" s="1" t="n">
        <v>1</v>
      </c>
      <c r="AF115" s="1" t="n">
        <v>30</v>
      </c>
      <c r="AG115" s="1" t="n">
        <v>1</v>
      </c>
      <c r="AH115" s="1" t="n">
        <v>30</v>
      </c>
      <c r="AI115" s="1" t="n">
        <v>0</v>
      </c>
      <c r="AJ115" s="1" t="n">
        <v>0</v>
      </c>
      <c r="AK115" s="1" t="n">
        <v>4</v>
      </c>
      <c r="AL115" s="4" t="n">
        <v>111</v>
      </c>
      <c r="AM115" s="21" t="n">
        <v>323791</v>
      </c>
      <c r="AN115" s="21" t="n">
        <v>100681</v>
      </c>
      <c r="AO115" s="21" t="n">
        <v>0</v>
      </c>
      <c r="AP115" s="21" t="n">
        <v>0</v>
      </c>
      <c r="AQ115" s="21" t="n">
        <v>2567</v>
      </c>
      <c r="AR115" s="21" t="n">
        <v>380</v>
      </c>
      <c r="AS115" s="22" t="n">
        <v>0</v>
      </c>
      <c r="AU115" s="22" t="n">
        <v>0</v>
      </c>
      <c r="AW115" s="22" t="n">
        <v>0</v>
      </c>
      <c r="AY115" s="21" t="n">
        <v>7</v>
      </c>
      <c r="AZ115" s="21" t="n">
        <v>8.5</v>
      </c>
      <c r="BA115" s="21" t="n">
        <v>15.5</v>
      </c>
      <c r="BB115" s="1" t="s">
        <v>420</v>
      </c>
      <c r="BC115" s="22" t="n">
        <v>6</v>
      </c>
      <c r="BD115" s="1" t="s">
        <v>421</v>
      </c>
      <c r="BE115" s="22" t="n">
        <v>15</v>
      </c>
      <c r="BG115" s="22"/>
      <c r="BH115" s="21" t="n">
        <v>1244.65</v>
      </c>
      <c r="BI115" s="21" t="n">
        <v>805.18</v>
      </c>
      <c r="BJ115" s="23" t="s">
        <v>268</v>
      </c>
    </row>
    <row r="116" s="1" customFormat="true" ht="28.35" hidden="true" customHeight="false" outlineLevel="0" collapsed="false">
      <c r="A116" s="1" t="s">
        <v>1538</v>
      </c>
      <c r="B116" s="1" t="s">
        <v>1539</v>
      </c>
      <c r="C116" s="1" t="s">
        <v>59</v>
      </c>
      <c r="D116" s="1" t="s">
        <v>60</v>
      </c>
      <c r="E116" s="1" t="s">
        <v>137</v>
      </c>
      <c r="F116" s="1" t="s">
        <v>1540</v>
      </c>
      <c r="G116" s="20" t="s">
        <v>1541</v>
      </c>
      <c r="H116" s="1" t="s">
        <v>1542</v>
      </c>
      <c r="I116" s="1" t="s">
        <v>1543</v>
      </c>
      <c r="K116" s="1" t="s">
        <v>1544</v>
      </c>
      <c r="L116" s="27" t="s">
        <v>1545</v>
      </c>
      <c r="M116" s="20" t="n">
        <v>3</v>
      </c>
      <c r="N116" s="1" t="s">
        <v>1546</v>
      </c>
      <c r="O116" s="1" t="s">
        <v>1547</v>
      </c>
      <c r="P116" s="1" t="s">
        <v>1548</v>
      </c>
      <c r="U116" s="1" t="n">
        <v>2</v>
      </c>
      <c r="V116" s="1" t="n">
        <v>1</v>
      </c>
      <c r="W116" s="1" t="n">
        <v>1</v>
      </c>
      <c r="X116" s="1" t="n">
        <v>2</v>
      </c>
      <c r="Y116" s="1" t="n">
        <v>4</v>
      </c>
      <c r="Z116" s="3" t="n">
        <v>89</v>
      </c>
      <c r="AA116" s="1" t="n">
        <v>2</v>
      </c>
      <c r="AB116" s="1" t="n">
        <v>63</v>
      </c>
      <c r="AC116" s="1" t="n">
        <v>2</v>
      </c>
      <c r="AD116" s="1" t="n">
        <v>54</v>
      </c>
      <c r="AE116" s="1" t="n">
        <v>2</v>
      </c>
      <c r="AF116" s="1" t="n">
        <v>62</v>
      </c>
      <c r="AG116" s="1" t="n">
        <v>2</v>
      </c>
      <c r="AH116" s="1" t="n">
        <v>50</v>
      </c>
      <c r="AI116" s="1" t="n">
        <v>0</v>
      </c>
      <c r="AJ116" s="1" t="n">
        <v>0</v>
      </c>
      <c r="AK116" s="1" t="n">
        <v>12</v>
      </c>
      <c r="AL116" s="4" t="n">
        <v>318</v>
      </c>
      <c r="AM116" s="21" t="n">
        <v>762578</v>
      </c>
      <c r="AN116" s="21" t="n">
        <v>222361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2" t="n">
        <v>0</v>
      </c>
      <c r="AU116" s="22" t="n">
        <v>0</v>
      </c>
      <c r="AW116" s="22" t="n">
        <v>0</v>
      </c>
      <c r="AY116" s="21" t="n">
        <v>18.5</v>
      </c>
      <c r="AZ116" s="21" t="n">
        <v>29</v>
      </c>
      <c r="BA116" s="21" t="n">
        <v>47.5</v>
      </c>
      <c r="BB116" s="1" t="s">
        <v>1549</v>
      </c>
      <c r="BC116" s="22" t="n">
        <v>1</v>
      </c>
      <c r="BD116" s="1" t="s">
        <v>1550</v>
      </c>
      <c r="BE116" s="22" t="n">
        <v>17</v>
      </c>
      <c r="BF116" s="1" t="s">
        <v>1551</v>
      </c>
      <c r="BG116" s="22"/>
      <c r="BH116" s="21" t="n">
        <v>1381.5</v>
      </c>
      <c r="BI116" s="21" t="n">
        <v>772.18</v>
      </c>
      <c r="BJ116" s="23" t="s">
        <v>101</v>
      </c>
    </row>
    <row r="117" s="1" customFormat="true" ht="14.25" hidden="true" customHeight="false" outlineLevel="0" collapsed="false">
      <c r="A117" s="1" t="s">
        <v>1552</v>
      </c>
      <c r="B117" s="1" t="s">
        <v>1553</v>
      </c>
      <c r="C117" s="1" t="s">
        <v>59</v>
      </c>
      <c r="D117" s="1" t="s">
        <v>60</v>
      </c>
      <c r="E117" s="1" t="s">
        <v>105</v>
      </c>
      <c r="F117" s="1" t="s">
        <v>1554</v>
      </c>
      <c r="G117" s="20" t="s">
        <v>1555</v>
      </c>
      <c r="H117" s="1" t="s">
        <v>1556</v>
      </c>
      <c r="I117" s="1" t="s">
        <v>1557</v>
      </c>
      <c r="J117" s="1" t="s">
        <v>1558</v>
      </c>
      <c r="K117" s="1" t="s">
        <v>1559</v>
      </c>
      <c r="L117" s="1" t="s">
        <v>1560</v>
      </c>
      <c r="M117" s="20" t="n">
        <v>6</v>
      </c>
      <c r="N117" s="1" t="s">
        <v>1561</v>
      </c>
      <c r="O117" s="1" t="s">
        <v>1562</v>
      </c>
      <c r="P117" s="1" t="s">
        <v>1563</v>
      </c>
      <c r="Q117" s="1" t="s">
        <v>1564</v>
      </c>
      <c r="R117" s="1" t="s">
        <v>1565</v>
      </c>
      <c r="S117" s="1" t="s">
        <v>1566</v>
      </c>
      <c r="U117" s="1" t="n">
        <v>1</v>
      </c>
      <c r="V117" s="1" t="n">
        <v>1</v>
      </c>
      <c r="W117" s="1" t="n">
        <v>1</v>
      </c>
      <c r="X117" s="1" t="n">
        <v>1</v>
      </c>
      <c r="Y117" s="1" t="n">
        <v>1</v>
      </c>
      <c r="Z117" s="3" t="n">
        <v>20</v>
      </c>
      <c r="AA117" s="1" t="n">
        <v>1</v>
      </c>
      <c r="AB117" s="1" t="n">
        <v>27</v>
      </c>
      <c r="AC117" s="1" t="n">
        <v>3</v>
      </c>
      <c r="AD117" s="1" t="n">
        <v>78</v>
      </c>
      <c r="AE117" s="1" t="n">
        <v>2</v>
      </c>
      <c r="AF117" s="1" t="n">
        <v>53</v>
      </c>
      <c r="AG117" s="1" t="n">
        <v>1</v>
      </c>
      <c r="AH117" s="1" t="n">
        <v>27</v>
      </c>
      <c r="AI117" s="1" t="n">
        <v>0</v>
      </c>
      <c r="AJ117" s="1" t="n">
        <v>0</v>
      </c>
      <c r="AK117" s="1" t="n">
        <v>8</v>
      </c>
      <c r="AL117" s="4" t="n">
        <v>205</v>
      </c>
      <c r="AM117" s="21" t="n">
        <v>529033</v>
      </c>
      <c r="AN117" s="21" t="n">
        <v>161846</v>
      </c>
      <c r="AO117" s="21"/>
      <c r="AP117" s="21"/>
      <c r="AQ117" s="21" t="n">
        <v>9656</v>
      </c>
      <c r="AR117" s="21" t="n">
        <v>45</v>
      </c>
      <c r="AS117" s="22" t="n">
        <v>1</v>
      </c>
      <c r="AT117" s="1" t="s">
        <v>1567</v>
      </c>
      <c r="AU117" s="22" t="n">
        <v>1</v>
      </c>
      <c r="AV117" s="1" t="s">
        <v>1482</v>
      </c>
      <c r="AW117" s="22"/>
      <c r="AY117" s="21" t="n">
        <v>17</v>
      </c>
      <c r="AZ117" s="21" t="n">
        <v>17</v>
      </c>
      <c r="BA117" s="21" t="n">
        <v>34</v>
      </c>
      <c r="BB117" s="1" t="s">
        <v>421</v>
      </c>
      <c r="BC117" s="22" t="n">
        <v>13</v>
      </c>
      <c r="BD117" s="1" t="s">
        <v>420</v>
      </c>
      <c r="BE117" s="22" t="n">
        <v>16</v>
      </c>
      <c r="BG117" s="22"/>
      <c r="BH117" s="21" t="n">
        <v>1288.32</v>
      </c>
      <c r="BI117" s="21" t="n">
        <v>850.05</v>
      </c>
      <c r="BJ117" s="23" t="s">
        <v>186</v>
      </c>
    </row>
    <row r="118" s="1" customFormat="true" ht="14.25" hidden="true" customHeight="false" outlineLevel="0" collapsed="false">
      <c r="A118" s="1" t="s">
        <v>1568</v>
      </c>
      <c r="B118" s="1" t="s">
        <v>1569</v>
      </c>
      <c r="C118" s="1" t="s">
        <v>59</v>
      </c>
      <c r="D118" s="1" t="s">
        <v>60</v>
      </c>
      <c r="E118" s="1" t="s">
        <v>204</v>
      </c>
      <c r="F118" s="1" t="s">
        <v>1570</v>
      </c>
      <c r="G118" s="20" t="s">
        <v>1571</v>
      </c>
      <c r="H118" s="1" t="s">
        <v>1572</v>
      </c>
      <c r="I118" s="1" t="s">
        <v>1573</v>
      </c>
      <c r="J118" s="1" t="s">
        <v>1574</v>
      </c>
      <c r="K118" s="1" t="s">
        <v>1575</v>
      </c>
      <c r="L118" s="1" t="s">
        <v>1576</v>
      </c>
      <c r="M118" s="20" t="n">
        <v>1</v>
      </c>
      <c r="U118" s="1" t="n">
        <v>1</v>
      </c>
      <c r="V118" s="1" t="n">
        <v>0</v>
      </c>
      <c r="W118" s="1" t="n">
        <v>1</v>
      </c>
      <c r="X118" s="1" t="n">
        <v>1</v>
      </c>
      <c r="Y118" s="1" t="n">
        <v>1</v>
      </c>
      <c r="Z118" s="3" t="n">
        <v>28</v>
      </c>
      <c r="AA118" s="1" t="n">
        <v>1</v>
      </c>
      <c r="AB118" s="1" t="n">
        <v>29</v>
      </c>
      <c r="AC118" s="1" t="n">
        <v>2</v>
      </c>
      <c r="AD118" s="1" t="n">
        <v>60</v>
      </c>
      <c r="AE118" s="1" t="n">
        <v>2</v>
      </c>
      <c r="AF118" s="1" t="n">
        <v>62</v>
      </c>
      <c r="AG118" s="1" t="n">
        <v>1</v>
      </c>
      <c r="AH118" s="1" t="n">
        <v>22</v>
      </c>
      <c r="AI118" s="1" t="n">
        <v>2</v>
      </c>
      <c r="AJ118" s="1" t="n">
        <v>21</v>
      </c>
      <c r="AK118" s="1" t="n">
        <v>9</v>
      </c>
      <c r="AL118" s="4" t="n">
        <v>222</v>
      </c>
      <c r="AM118" s="21" t="n">
        <v>699703</v>
      </c>
      <c r="AN118" s="21" t="n">
        <v>166614</v>
      </c>
      <c r="AO118" s="21" t="n">
        <v>4108</v>
      </c>
      <c r="AP118" s="21" t="n">
        <v>13569</v>
      </c>
      <c r="AQ118" s="21" t="n">
        <v>0</v>
      </c>
      <c r="AR118" s="21" t="n">
        <v>0</v>
      </c>
      <c r="AS118" s="22" t="n">
        <v>0</v>
      </c>
      <c r="AU118" s="22" t="n">
        <v>2</v>
      </c>
      <c r="AV118" s="1" t="s">
        <v>1577</v>
      </c>
      <c r="AW118" s="22" t="n">
        <v>0</v>
      </c>
      <c r="AY118" s="21" t="n">
        <v>23</v>
      </c>
      <c r="AZ118" s="21" t="n">
        <v>20</v>
      </c>
      <c r="BA118" s="21" t="n">
        <v>43</v>
      </c>
      <c r="BB118" s="1" t="s">
        <v>1578</v>
      </c>
      <c r="BC118" s="22" t="n">
        <v>19</v>
      </c>
      <c r="BD118" s="1" t="s">
        <v>1579</v>
      </c>
      <c r="BE118" s="22" t="n">
        <v>18</v>
      </c>
      <c r="BF118" s="1" t="s">
        <v>1580</v>
      </c>
      <c r="BG118" s="22" t="n">
        <v>15</v>
      </c>
      <c r="BH118" s="21" t="n">
        <v>1129.9</v>
      </c>
      <c r="BI118" s="21" t="n">
        <v>942</v>
      </c>
      <c r="BJ118" s="23" t="s">
        <v>231</v>
      </c>
    </row>
    <row r="119" s="1" customFormat="true" ht="14.25" hidden="true" customHeight="false" outlineLevel="0" collapsed="false">
      <c r="A119" s="1" t="s">
        <v>1581</v>
      </c>
      <c r="B119" s="1" t="s">
        <v>1582</v>
      </c>
      <c r="C119" s="1" t="s">
        <v>59</v>
      </c>
      <c r="D119" s="1" t="s">
        <v>60</v>
      </c>
      <c r="E119" s="1" t="s">
        <v>638</v>
      </c>
      <c r="F119" s="1" t="s">
        <v>1583</v>
      </c>
      <c r="G119" s="20" t="s">
        <v>1584</v>
      </c>
      <c r="H119" s="1" t="s">
        <v>1585</v>
      </c>
      <c r="I119" s="1" t="s">
        <v>1586</v>
      </c>
      <c r="J119" s="1" t="s">
        <v>1587</v>
      </c>
      <c r="K119" s="1" t="s">
        <v>1588</v>
      </c>
      <c r="L119" s="1" t="s">
        <v>1589</v>
      </c>
      <c r="M119" s="20" t="n">
        <v>1</v>
      </c>
      <c r="N119" s="1" t="s">
        <v>1590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3" t="n">
        <v>0</v>
      </c>
      <c r="AA119" s="1" t="n">
        <v>1</v>
      </c>
      <c r="AB119" s="1" t="n">
        <v>25</v>
      </c>
      <c r="AC119" s="1" t="n">
        <v>1</v>
      </c>
      <c r="AD119" s="1" t="n">
        <v>25</v>
      </c>
      <c r="AE119" s="1" t="n">
        <v>1</v>
      </c>
      <c r="AF119" s="1" t="n">
        <v>29</v>
      </c>
      <c r="AG119" s="1" t="n">
        <v>1</v>
      </c>
      <c r="AH119" s="1" t="n">
        <v>30</v>
      </c>
      <c r="AI119" s="1" t="n">
        <v>0</v>
      </c>
      <c r="AJ119" s="1" t="n">
        <v>0</v>
      </c>
      <c r="AK119" s="1" t="n">
        <v>4</v>
      </c>
      <c r="AL119" s="4" t="n">
        <v>109</v>
      </c>
      <c r="AM119" s="21" t="n">
        <v>315870</v>
      </c>
      <c r="AN119" s="21" t="n">
        <v>77590</v>
      </c>
      <c r="AO119" s="21" t="n">
        <v>0</v>
      </c>
      <c r="AP119" s="21" t="n">
        <v>0</v>
      </c>
      <c r="AQ119" s="21" t="n">
        <v>7393</v>
      </c>
      <c r="AR119" s="21" t="n">
        <v>80</v>
      </c>
      <c r="AS119" s="22" t="n">
        <v>0</v>
      </c>
      <c r="AU119" s="22" t="n">
        <v>1</v>
      </c>
      <c r="AV119" s="1" t="s">
        <v>1591</v>
      </c>
      <c r="AW119" s="22" t="n">
        <v>0</v>
      </c>
      <c r="AY119" s="21" t="n">
        <v>10</v>
      </c>
      <c r="AZ119" s="21" t="n">
        <v>8.5</v>
      </c>
      <c r="BA119" s="21" t="n">
        <v>18.5</v>
      </c>
      <c r="BB119" s="1" t="s">
        <v>925</v>
      </c>
      <c r="BC119" s="22" t="n">
        <v>10</v>
      </c>
      <c r="BD119" s="1" t="s">
        <v>1327</v>
      </c>
      <c r="BE119" s="22" t="n">
        <v>10</v>
      </c>
      <c r="BF119" s="1" t="s">
        <v>1592</v>
      </c>
      <c r="BG119" s="22" t="n">
        <v>10</v>
      </c>
      <c r="BH119" s="21" t="n">
        <v>1296</v>
      </c>
      <c r="BI119" s="21" t="n">
        <v>827</v>
      </c>
      <c r="BJ119" s="23" t="s">
        <v>71</v>
      </c>
    </row>
    <row r="120" s="1" customFormat="true" ht="14.25" hidden="true" customHeight="false" outlineLevel="0" collapsed="false">
      <c r="A120" s="1" t="s">
        <v>1593</v>
      </c>
      <c r="B120" s="1" t="s">
        <v>1594</v>
      </c>
      <c r="C120" s="1" t="s">
        <v>59</v>
      </c>
      <c r="D120" s="1" t="s">
        <v>60</v>
      </c>
      <c r="E120" s="1" t="s">
        <v>61</v>
      </c>
      <c r="F120" s="1" t="s">
        <v>1595</v>
      </c>
      <c r="G120" s="20" t="s">
        <v>1596</v>
      </c>
      <c r="H120" s="1" t="s">
        <v>1597</v>
      </c>
      <c r="I120" s="1" t="s">
        <v>1598</v>
      </c>
      <c r="J120" s="1" t="s">
        <v>1599</v>
      </c>
      <c r="K120" s="1" t="s">
        <v>1600</v>
      </c>
      <c r="L120" s="1" t="s">
        <v>1601</v>
      </c>
      <c r="M120" s="20" t="n">
        <v>2</v>
      </c>
      <c r="N120" s="1" t="s">
        <v>1602</v>
      </c>
      <c r="O120" s="1" t="s">
        <v>1603</v>
      </c>
      <c r="U120" s="1" t="n">
        <v>2</v>
      </c>
      <c r="V120" s="1" t="n">
        <v>0</v>
      </c>
      <c r="W120" s="1" t="n">
        <v>1</v>
      </c>
      <c r="X120" s="1" t="n">
        <v>0</v>
      </c>
      <c r="Y120" s="1" t="n">
        <v>1</v>
      </c>
      <c r="Z120" s="3" t="n">
        <v>24</v>
      </c>
      <c r="AA120" s="1" t="n">
        <v>3</v>
      </c>
      <c r="AB120" s="1" t="n">
        <v>70</v>
      </c>
      <c r="AC120" s="1" t="n">
        <v>3</v>
      </c>
      <c r="AD120" s="1" t="n">
        <v>90</v>
      </c>
      <c r="AE120" s="1" t="n">
        <v>2</v>
      </c>
      <c r="AF120" s="1" t="n">
        <v>54</v>
      </c>
      <c r="AG120" s="1" t="n">
        <v>3</v>
      </c>
      <c r="AH120" s="1" t="n">
        <v>72</v>
      </c>
      <c r="AI120" s="1" t="n">
        <v>0</v>
      </c>
      <c r="AJ120" s="1" t="n">
        <v>0</v>
      </c>
      <c r="AK120" s="1" t="n">
        <v>12</v>
      </c>
      <c r="AL120" s="4" t="n">
        <v>310</v>
      </c>
      <c r="AM120" s="21" t="n">
        <v>834110</v>
      </c>
      <c r="AN120" s="21" t="n">
        <v>248795</v>
      </c>
      <c r="AO120" s="21" t="n">
        <v>0</v>
      </c>
      <c r="AP120" s="21" t="n">
        <v>0</v>
      </c>
      <c r="AQ120" s="21" t="n">
        <v>13582</v>
      </c>
      <c r="AR120" s="21" t="n">
        <v>0</v>
      </c>
      <c r="AS120" s="22" t="n">
        <v>0</v>
      </c>
      <c r="AU120" s="22" t="n">
        <v>0</v>
      </c>
      <c r="AW120" s="22" t="n">
        <v>0</v>
      </c>
      <c r="AY120" s="21" t="n">
        <v>24</v>
      </c>
      <c r="AZ120" s="21" t="n">
        <v>26</v>
      </c>
      <c r="BA120" s="21" t="n">
        <v>50</v>
      </c>
      <c r="BB120" s="1" t="s">
        <v>1604</v>
      </c>
      <c r="BC120" s="22" t="n">
        <v>24</v>
      </c>
      <c r="BD120" s="1" t="s">
        <v>1605</v>
      </c>
      <c r="BE120" s="22" t="n">
        <v>50</v>
      </c>
      <c r="BG120" s="22"/>
      <c r="BH120" s="21" t="n">
        <v>1280</v>
      </c>
      <c r="BI120" s="21" t="n">
        <v>775</v>
      </c>
      <c r="BJ120" s="23" t="s">
        <v>186</v>
      </c>
    </row>
    <row r="121" s="1" customFormat="true" ht="14.25" hidden="true" customHeight="false" outlineLevel="0" collapsed="false">
      <c r="A121" s="1" t="s">
        <v>1606</v>
      </c>
      <c r="B121" s="1" t="s">
        <v>1607</v>
      </c>
      <c r="C121" s="1" t="s">
        <v>59</v>
      </c>
      <c r="D121" s="1" t="s">
        <v>60</v>
      </c>
      <c r="E121" s="1" t="s">
        <v>61</v>
      </c>
      <c r="F121" s="1" t="s">
        <v>1608</v>
      </c>
      <c r="G121" s="20" t="s">
        <v>1609</v>
      </c>
      <c r="H121" s="1" t="s">
        <v>1610</v>
      </c>
      <c r="I121" s="1" t="s">
        <v>1611</v>
      </c>
      <c r="J121" s="1" t="s">
        <v>1612</v>
      </c>
      <c r="K121" s="1" t="s">
        <v>1613</v>
      </c>
      <c r="L121" s="1" t="s">
        <v>1614</v>
      </c>
      <c r="M121" s="20" t="n">
        <v>2</v>
      </c>
      <c r="N121" s="1" t="s">
        <v>1608</v>
      </c>
      <c r="O121" s="1" t="s">
        <v>1608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2</v>
      </c>
      <c r="Z121" s="3" t="n">
        <v>43</v>
      </c>
      <c r="AA121" s="1" t="n">
        <v>1</v>
      </c>
      <c r="AB121" s="1" t="n">
        <v>25</v>
      </c>
      <c r="AC121" s="1" t="n">
        <v>2</v>
      </c>
      <c r="AD121" s="1" t="n">
        <v>49</v>
      </c>
      <c r="AE121" s="1" t="n">
        <v>1</v>
      </c>
      <c r="AF121" s="1" t="n">
        <v>29</v>
      </c>
      <c r="AG121" s="1" t="n">
        <v>1</v>
      </c>
      <c r="AH121" s="1" t="n">
        <v>21</v>
      </c>
      <c r="AI121" s="1" t="n">
        <v>0</v>
      </c>
      <c r="AJ121" s="1" t="n">
        <v>0</v>
      </c>
      <c r="AK121" s="1" t="n">
        <v>7</v>
      </c>
      <c r="AL121" s="4" t="n">
        <v>167</v>
      </c>
      <c r="AM121" s="21" t="n">
        <v>433380</v>
      </c>
      <c r="AN121" s="21" t="n">
        <v>126217</v>
      </c>
      <c r="AO121" s="21" t="n">
        <v>4320</v>
      </c>
      <c r="AP121" s="21" t="n">
        <v>8786</v>
      </c>
      <c r="AQ121" s="21" t="n">
        <v>8755</v>
      </c>
      <c r="AR121" s="21" t="n">
        <v>0</v>
      </c>
      <c r="AS121" s="22" t="n">
        <v>0</v>
      </c>
      <c r="AU121" s="22" t="n">
        <v>0</v>
      </c>
      <c r="AW121" s="22" t="n">
        <v>1</v>
      </c>
      <c r="AX121" s="1" t="s">
        <v>1615</v>
      </c>
      <c r="AY121" s="21" t="n">
        <v>12</v>
      </c>
      <c r="AZ121" s="21" t="n">
        <v>15</v>
      </c>
      <c r="BA121" s="21" t="n">
        <v>27</v>
      </c>
      <c r="BB121" s="1" t="s">
        <v>1616</v>
      </c>
      <c r="BC121" s="22" t="n">
        <v>6</v>
      </c>
      <c r="BD121" s="1" t="s">
        <v>1617</v>
      </c>
      <c r="BE121" s="22" t="n">
        <v>15</v>
      </c>
      <c r="BF121" s="1" t="s">
        <v>1618</v>
      </c>
      <c r="BG121" s="22" t="n">
        <v>1</v>
      </c>
      <c r="BH121" s="21" t="n">
        <v>1337</v>
      </c>
      <c r="BI121" s="21" t="n">
        <v>797</v>
      </c>
      <c r="BJ121" s="23" t="s">
        <v>101</v>
      </c>
    </row>
    <row r="122" s="1" customFormat="true" ht="28.35" hidden="true" customHeight="false" outlineLevel="0" collapsed="false">
      <c r="A122" s="1" t="s">
        <v>1619</v>
      </c>
      <c r="B122" s="1" t="s">
        <v>1620</v>
      </c>
      <c r="C122" s="1" t="s">
        <v>59</v>
      </c>
      <c r="D122" s="1" t="s">
        <v>1374</v>
      </c>
      <c r="E122" s="1" t="s">
        <v>1375</v>
      </c>
      <c r="F122" s="1" t="s">
        <v>1621</v>
      </c>
      <c r="G122" s="20" t="s">
        <v>1622</v>
      </c>
      <c r="H122" s="1" t="s">
        <v>1623</v>
      </c>
      <c r="I122" s="1" t="s">
        <v>1624</v>
      </c>
      <c r="J122" s="1" t="s">
        <v>1625</v>
      </c>
      <c r="K122" s="1" t="s">
        <v>1626</v>
      </c>
      <c r="L122" s="27" t="s">
        <v>1627</v>
      </c>
      <c r="M122" s="20" t="n">
        <v>2</v>
      </c>
      <c r="N122" s="27" t="s">
        <v>1628</v>
      </c>
      <c r="O122" s="27" t="s">
        <v>1629</v>
      </c>
      <c r="U122" s="1" t="n">
        <v>0</v>
      </c>
      <c r="V122" s="1" t="n">
        <v>1</v>
      </c>
      <c r="W122" s="1" t="n">
        <v>0</v>
      </c>
      <c r="X122" s="1" t="n">
        <v>1</v>
      </c>
      <c r="Y122" s="1" t="n">
        <v>2</v>
      </c>
      <c r="Z122" s="3" t="n">
        <v>46</v>
      </c>
      <c r="AA122" s="1" t="n">
        <v>2</v>
      </c>
      <c r="AB122" s="1" t="n">
        <v>59</v>
      </c>
      <c r="AC122" s="1" t="n">
        <v>1</v>
      </c>
      <c r="AD122" s="1" t="n">
        <v>36</v>
      </c>
      <c r="AE122" s="1" t="n">
        <v>2</v>
      </c>
      <c r="AF122" s="1" t="n">
        <v>57</v>
      </c>
      <c r="AG122" s="1" t="n">
        <v>1</v>
      </c>
      <c r="AH122" s="1" t="n">
        <v>35</v>
      </c>
      <c r="AI122" s="1" t="n">
        <v>0</v>
      </c>
      <c r="AJ122" s="1" t="n">
        <v>0</v>
      </c>
      <c r="AK122" s="1" t="n">
        <v>8</v>
      </c>
      <c r="AL122" s="4" t="n">
        <v>233</v>
      </c>
      <c r="AM122" s="21" t="n">
        <v>599843</v>
      </c>
      <c r="AN122" s="21" t="n">
        <v>181650</v>
      </c>
      <c r="AO122" s="21" t="n">
        <v>1296</v>
      </c>
      <c r="AP122" s="21" t="n">
        <v>0</v>
      </c>
      <c r="AQ122" s="21" t="n">
        <v>6450</v>
      </c>
      <c r="AR122" s="21" t="n">
        <v>0</v>
      </c>
      <c r="AS122" s="22" t="n">
        <v>0</v>
      </c>
      <c r="AU122" s="22" t="n">
        <v>1</v>
      </c>
      <c r="AV122" s="1" t="s">
        <v>1630</v>
      </c>
      <c r="AW122" s="22" t="n">
        <v>0</v>
      </c>
      <c r="AY122" s="21" t="n">
        <v>15</v>
      </c>
      <c r="AZ122" s="21" t="n">
        <v>20.5</v>
      </c>
      <c r="BA122" s="21" t="n">
        <v>35.5</v>
      </c>
      <c r="BB122" s="1" t="s">
        <v>1631</v>
      </c>
      <c r="BC122" s="22" t="n">
        <v>10</v>
      </c>
      <c r="BD122" s="1" t="s">
        <v>1632</v>
      </c>
      <c r="BE122" s="22" t="n">
        <v>12</v>
      </c>
      <c r="BF122" s="1" t="s">
        <v>1633</v>
      </c>
      <c r="BG122" s="22" t="n">
        <v>14</v>
      </c>
      <c r="BH122" s="21" t="n">
        <v>1230.64</v>
      </c>
      <c r="BI122" s="21" t="n">
        <v>856.6</v>
      </c>
      <c r="BJ122" s="23" t="s">
        <v>173</v>
      </c>
    </row>
    <row r="123" s="1" customFormat="true" ht="14.25" hidden="true" customHeight="false" outlineLevel="0" collapsed="false">
      <c r="A123" s="1" t="s">
        <v>1634</v>
      </c>
      <c r="B123" s="1" t="s">
        <v>1635</v>
      </c>
      <c r="C123" s="1" t="s">
        <v>59</v>
      </c>
      <c r="D123" s="1" t="s">
        <v>234</v>
      </c>
      <c r="E123" s="1" t="s">
        <v>204</v>
      </c>
      <c r="F123" s="1" t="s">
        <v>1636</v>
      </c>
      <c r="G123" s="20" t="s">
        <v>1637</v>
      </c>
      <c r="H123" s="1" t="s">
        <v>1638</v>
      </c>
      <c r="I123" s="1" t="s">
        <v>1639</v>
      </c>
      <c r="J123" s="1" t="s">
        <v>1640</v>
      </c>
      <c r="K123" s="1" t="s">
        <v>1641</v>
      </c>
      <c r="L123" s="1" t="s">
        <v>1642</v>
      </c>
      <c r="M123" s="20" t="n">
        <v>1</v>
      </c>
      <c r="U123" s="1" t="n">
        <v>1</v>
      </c>
      <c r="V123" s="1" t="n">
        <v>0</v>
      </c>
      <c r="W123" s="1" t="n">
        <v>1</v>
      </c>
      <c r="X123" s="1" t="n">
        <v>0</v>
      </c>
      <c r="Y123" s="1" t="n">
        <v>2</v>
      </c>
      <c r="Z123" s="3" t="n">
        <v>48</v>
      </c>
      <c r="AA123" s="1" t="n">
        <v>2</v>
      </c>
      <c r="AB123" s="1" t="n">
        <v>54</v>
      </c>
      <c r="AC123" s="1" t="n">
        <v>2</v>
      </c>
      <c r="AD123" s="1" t="n">
        <v>64</v>
      </c>
      <c r="AE123" s="1" t="n">
        <v>2</v>
      </c>
      <c r="AF123" s="1" t="n">
        <v>64</v>
      </c>
      <c r="AG123" s="1" t="n">
        <v>2</v>
      </c>
      <c r="AH123" s="1" t="n">
        <v>52</v>
      </c>
      <c r="AI123" s="1" t="n">
        <v>0</v>
      </c>
      <c r="AJ123" s="1" t="n">
        <v>0</v>
      </c>
      <c r="AK123" s="1" t="n">
        <v>10</v>
      </c>
      <c r="AL123" s="4" t="n">
        <v>282</v>
      </c>
      <c r="AM123" s="21" t="n">
        <v>755640</v>
      </c>
      <c r="AN123" s="21" t="n">
        <v>221523</v>
      </c>
      <c r="AO123" s="21" t="n">
        <v>0</v>
      </c>
      <c r="AP123" s="21" t="n">
        <v>0</v>
      </c>
      <c r="AQ123" s="21" t="n">
        <v>15720</v>
      </c>
      <c r="AR123" s="21" t="n">
        <v>0</v>
      </c>
      <c r="AS123" s="22" t="n">
        <v>0</v>
      </c>
      <c r="AU123" s="22" t="n">
        <v>1</v>
      </c>
      <c r="AV123" s="1" t="s">
        <v>1643</v>
      </c>
      <c r="AW123" s="22" t="n">
        <v>0</v>
      </c>
      <c r="AY123" s="21" t="n">
        <v>20</v>
      </c>
      <c r="AZ123" s="21" t="n">
        <v>21</v>
      </c>
      <c r="BA123" s="21" t="n">
        <v>41</v>
      </c>
      <c r="BB123" s="1" t="s">
        <v>1644</v>
      </c>
      <c r="BC123" s="22" t="n">
        <v>20</v>
      </c>
      <c r="BD123" s="1" t="s">
        <v>1645</v>
      </c>
      <c r="BE123" s="22" t="n">
        <v>20</v>
      </c>
      <c r="BF123" s="1" t="s">
        <v>1646</v>
      </c>
      <c r="BG123" s="22" t="n">
        <v>2</v>
      </c>
      <c r="BH123" s="21" t="n">
        <v>1324.97</v>
      </c>
      <c r="BI123" s="21" t="n">
        <v>754.41</v>
      </c>
      <c r="BJ123" s="23" t="s">
        <v>186</v>
      </c>
    </row>
    <row r="124" s="1" customFormat="true" ht="14.25" hidden="true" customHeight="false" outlineLevel="0" collapsed="false">
      <c r="A124" s="1" t="s">
        <v>1647</v>
      </c>
      <c r="B124" s="1" t="s">
        <v>1648</v>
      </c>
      <c r="C124" s="1" t="s">
        <v>59</v>
      </c>
      <c r="D124" s="1" t="s">
        <v>60</v>
      </c>
      <c r="E124" s="1" t="s">
        <v>162</v>
      </c>
      <c r="F124" s="1" t="s">
        <v>1649</v>
      </c>
      <c r="G124" s="20" t="s">
        <v>1650</v>
      </c>
      <c r="H124" s="1" t="s">
        <v>1651</v>
      </c>
      <c r="I124" s="1" t="s">
        <v>1652</v>
      </c>
      <c r="J124" s="1" t="s">
        <v>1653</v>
      </c>
      <c r="K124" s="1" t="s">
        <v>1654</v>
      </c>
      <c r="L124" s="1" t="s">
        <v>1655</v>
      </c>
      <c r="M124" s="20" t="n">
        <v>2</v>
      </c>
      <c r="N124" s="1" t="s">
        <v>1656</v>
      </c>
      <c r="O124" s="1" t="s">
        <v>1656</v>
      </c>
      <c r="U124" s="1" t="n">
        <v>1</v>
      </c>
      <c r="V124" s="1" t="n">
        <v>0</v>
      </c>
      <c r="W124" s="1" t="n">
        <v>1</v>
      </c>
      <c r="X124" s="1" t="n">
        <v>0</v>
      </c>
      <c r="Y124" s="1" t="n">
        <v>0</v>
      </c>
      <c r="Z124" s="3" t="n">
        <v>0</v>
      </c>
      <c r="AA124" s="1" t="n">
        <v>1</v>
      </c>
      <c r="AB124" s="1" t="n">
        <v>26</v>
      </c>
      <c r="AC124" s="1" t="n">
        <v>1</v>
      </c>
      <c r="AD124" s="1" t="n">
        <v>30</v>
      </c>
      <c r="AE124" s="1" t="n">
        <v>2</v>
      </c>
      <c r="AF124" s="1" t="n">
        <v>54</v>
      </c>
      <c r="AG124" s="1" t="n">
        <v>1</v>
      </c>
      <c r="AH124" s="1" t="n">
        <v>25</v>
      </c>
      <c r="AI124" s="1" t="n">
        <v>1</v>
      </c>
      <c r="AJ124" s="1" t="n">
        <v>25</v>
      </c>
      <c r="AK124" s="1" t="n">
        <v>6</v>
      </c>
      <c r="AL124" s="4" t="n">
        <v>160</v>
      </c>
      <c r="AM124" s="21" t="n">
        <v>518.466</v>
      </c>
      <c r="AN124" s="21" t="n">
        <v>129.417</v>
      </c>
      <c r="AO124" s="21" t="n">
        <v>0</v>
      </c>
      <c r="AP124" s="21" t="n">
        <v>4028</v>
      </c>
      <c r="AQ124" s="21" t="n">
        <v>8471</v>
      </c>
      <c r="AR124" s="21" t="n">
        <v>174</v>
      </c>
      <c r="AS124" s="22" t="n">
        <v>0</v>
      </c>
      <c r="AU124" s="22" t="n">
        <v>0</v>
      </c>
      <c r="AW124" s="22" t="n">
        <v>0</v>
      </c>
      <c r="AY124" s="21" t="n">
        <v>16</v>
      </c>
      <c r="AZ124" s="21" t="n">
        <v>14</v>
      </c>
      <c r="BA124" s="21" t="n">
        <v>30</v>
      </c>
      <c r="BB124" s="1" t="s">
        <v>1657</v>
      </c>
      <c r="BC124" s="22" t="n">
        <v>2</v>
      </c>
      <c r="BD124" s="1" t="s">
        <v>1658</v>
      </c>
      <c r="BE124" s="22" t="n">
        <v>1</v>
      </c>
      <c r="BF124" s="1" t="s">
        <v>1659</v>
      </c>
      <c r="BG124" s="22" t="n">
        <v>16</v>
      </c>
      <c r="BH124" s="21" t="n">
        <v>1287.94</v>
      </c>
      <c r="BI124" s="21" t="n">
        <v>900.67</v>
      </c>
      <c r="BJ124" s="23" t="s">
        <v>71</v>
      </c>
    </row>
    <row r="125" s="1" customFormat="true" ht="28.35" hidden="true" customHeight="false" outlineLevel="0" collapsed="false">
      <c r="A125" s="1" t="s">
        <v>1660</v>
      </c>
      <c r="B125" s="1" t="s">
        <v>1661</v>
      </c>
      <c r="C125" s="1" t="s">
        <v>59</v>
      </c>
      <c r="D125" s="1" t="s">
        <v>60</v>
      </c>
      <c r="E125" s="1" t="s">
        <v>176</v>
      </c>
      <c r="F125" s="1" t="s">
        <v>1662</v>
      </c>
      <c r="G125" s="20" t="s">
        <v>1663</v>
      </c>
      <c r="H125" s="1" t="s">
        <v>1664</v>
      </c>
      <c r="I125" s="1" t="s">
        <v>1665</v>
      </c>
      <c r="J125" s="1" t="s">
        <v>1666</v>
      </c>
      <c r="K125" s="1" t="s">
        <v>1667</v>
      </c>
      <c r="L125" s="1" t="s">
        <v>1668</v>
      </c>
      <c r="M125" s="20" t="n">
        <v>2</v>
      </c>
      <c r="N125" s="27" t="s">
        <v>1669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3" t="n">
        <v>0</v>
      </c>
      <c r="AA125" s="1" t="n">
        <v>1</v>
      </c>
      <c r="AB125" s="1" t="n">
        <v>26</v>
      </c>
      <c r="AC125" s="1" t="n">
        <v>2</v>
      </c>
      <c r="AD125" s="1" t="n">
        <v>63</v>
      </c>
      <c r="AE125" s="1" t="n">
        <v>1</v>
      </c>
      <c r="AF125" s="1" t="n">
        <v>36</v>
      </c>
      <c r="AG125" s="1" t="n">
        <v>1</v>
      </c>
      <c r="AH125" s="1" t="n">
        <v>30</v>
      </c>
      <c r="AI125" s="1" t="n">
        <v>0</v>
      </c>
      <c r="AJ125" s="1" t="n">
        <v>0</v>
      </c>
      <c r="AK125" s="1" t="n">
        <v>5</v>
      </c>
      <c r="AL125" s="4" t="n">
        <v>155</v>
      </c>
      <c r="AM125" s="21" t="n">
        <v>438290</v>
      </c>
      <c r="AN125" s="21" t="n">
        <v>114331</v>
      </c>
      <c r="AO125" s="21" t="n">
        <v>0</v>
      </c>
      <c r="AP125" s="21" t="n">
        <v>6190</v>
      </c>
      <c r="AQ125" s="21" t="n">
        <v>8447.23</v>
      </c>
      <c r="AR125" s="21" t="n">
        <v>0</v>
      </c>
      <c r="AS125" s="22" t="n">
        <v>0</v>
      </c>
      <c r="AU125" s="22" t="n">
        <v>0</v>
      </c>
      <c r="AV125" s="1" t="n">
        <v>0</v>
      </c>
      <c r="AW125" s="22" t="n">
        <v>0</v>
      </c>
      <c r="AY125" s="21" t="n">
        <v>11.5</v>
      </c>
      <c r="AZ125" s="21" t="n">
        <v>11.5</v>
      </c>
      <c r="BA125" s="21" t="n">
        <v>23</v>
      </c>
      <c r="BB125" s="1" t="s">
        <v>1670</v>
      </c>
      <c r="BC125" s="22" t="n">
        <v>2</v>
      </c>
      <c r="BD125" s="1" t="s">
        <v>1671</v>
      </c>
      <c r="BE125" s="22" t="n">
        <v>8</v>
      </c>
      <c r="BF125" s="1" t="s">
        <v>778</v>
      </c>
      <c r="BG125" s="22" t="n">
        <v>8</v>
      </c>
      <c r="BH125" s="21" t="n">
        <v>1370.45</v>
      </c>
      <c r="BI125" s="21" t="n">
        <v>793.07</v>
      </c>
      <c r="BJ125" s="23" t="s">
        <v>486</v>
      </c>
    </row>
    <row r="126" s="1" customFormat="true" ht="14.25" hidden="true" customHeight="false" outlineLevel="0" collapsed="false">
      <c r="A126" s="1" t="s">
        <v>1672</v>
      </c>
      <c r="B126" s="1" t="s">
        <v>1673</v>
      </c>
      <c r="C126" s="1" t="s">
        <v>59</v>
      </c>
      <c r="D126" s="1" t="s">
        <v>234</v>
      </c>
      <c r="E126" s="1" t="s">
        <v>757</v>
      </c>
      <c r="F126" s="1" t="s">
        <v>1674</v>
      </c>
      <c r="G126" s="20" t="s">
        <v>1675</v>
      </c>
      <c r="H126" s="1" t="s">
        <v>1676</v>
      </c>
      <c r="I126" s="1" t="s">
        <v>1677</v>
      </c>
      <c r="K126" s="1" t="s">
        <v>1678</v>
      </c>
      <c r="L126" s="1" t="s">
        <v>1679</v>
      </c>
      <c r="M126" s="20" t="n">
        <v>2</v>
      </c>
      <c r="N126" s="1" t="s">
        <v>1680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3" t="n">
        <v>0</v>
      </c>
      <c r="AA126" s="1" t="n">
        <v>2</v>
      </c>
      <c r="AB126" s="1" t="n">
        <v>47</v>
      </c>
      <c r="AC126" s="1" t="n">
        <v>2</v>
      </c>
      <c r="AD126" s="1" t="n">
        <v>59</v>
      </c>
      <c r="AE126" s="1" t="n">
        <v>2</v>
      </c>
      <c r="AF126" s="1" t="n">
        <v>57</v>
      </c>
      <c r="AG126" s="1" t="n">
        <v>2</v>
      </c>
      <c r="AH126" s="1" t="n">
        <v>44</v>
      </c>
      <c r="AI126" s="1" t="n">
        <v>0</v>
      </c>
      <c r="AJ126" s="1" t="n">
        <v>0</v>
      </c>
      <c r="AK126" s="1" t="n">
        <v>8</v>
      </c>
      <c r="AL126" s="4" t="n">
        <v>207</v>
      </c>
      <c r="AM126" s="21" t="n">
        <v>558290</v>
      </c>
      <c r="AN126" s="21" t="n">
        <v>147554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2"/>
      <c r="AT126" s="1" t="s">
        <v>1681</v>
      </c>
      <c r="AU126" s="22" t="n">
        <v>2</v>
      </c>
      <c r="AV126" s="1" t="s">
        <v>1682</v>
      </c>
      <c r="AW126" s="22"/>
      <c r="AY126" s="21" t="n">
        <v>18.67</v>
      </c>
      <c r="AZ126" s="21" t="n">
        <v>17.5</v>
      </c>
      <c r="BA126" s="21" t="n">
        <v>36.17</v>
      </c>
      <c r="BB126" s="1" t="s">
        <v>1683</v>
      </c>
      <c r="BC126" s="22" t="n">
        <v>14</v>
      </c>
      <c r="BD126" s="1" t="s">
        <v>1684</v>
      </c>
      <c r="BE126" s="22" t="n">
        <v>14</v>
      </c>
      <c r="BF126" s="1" t="s">
        <v>1685</v>
      </c>
      <c r="BG126" s="22" t="n">
        <v>1</v>
      </c>
      <c r="BH126" s="21" t="n">
        <v>1359</v>
      </c>
      <c r="BI126" s="21" t="n">
        <v>759</v>
      </c>
      <c r="BJ126" s="23" t="s">
        <v>486</v>
      </c>
    </row>
    <row r="127" s="1" customFormat="true" ht="14.25" hidden="true" customHeight="false" outlineLevel="0" collapsed="false">
      <c r="A127" s="1" t="s">
        <v>1686</v>
      </c>
      <c r="B127" s="1" t="s">
        <v>1687</v>
      </c>
      <c r="C127" s="1" t="s">
        <v>59</v>
      </c>
      <c r="D127" s="1" t="s">
        <v>60</v>
      </c>
      <c r="E127" s="1" t="s">
        <v>74</v>
      </c>
      <c r="F127" s="1" t="s">
        <v>1688</v>
      </c>
      <c r="G127" s="20" t="s">
        <v>1689</v>
      </c>
      <c r="H127" s="1" t="s">
        <v>1690</v>
      </c>
      <c r="I127" s="1" t="s">
        <v>1691</v>
      </c>
      <c r="J127" s="1" t="s">
        <v>1692</v>
      </c>
      <c r="K127" s="1" t="s">
        <v>1693</v>
      </c>
      <c r="L127" s="1" t="s">
        <v>1694</v>
      </c>
      <c r="M127" s="20" t="n">
        <v>7</v>
      </c>
      <c r="N127" s="1" t="s">
        <v>1695</v>
      </c>
      <c r="O127" s="1" t="s">
        <v>1696</v>
      </c>
      <c r="P127" s="1" t="s">
        <v>1697</v>
      </c>
      <c r="Q127" s="1" t="s">
        <v>1698</v>
      </c>
      <c r="R127" s="1" t="s">
        <v>1699</v>
      </c>
      <c r="S127" s="1" t="s">
        <v>1700</v>
      </c>
      <c r="T127" s="1" t="s">
        <v>1701</v>
      </c>
      <c r="U127" s="1" t="n">
        <v>2</v>
      </c>
      <c r="V127" s="1" t="n">
        <v>1</v>
      </c>
      <c r="W127" s="1" t="n">
        <v>2</v>
      </c>
      <c r="X127" s="1" t="n">
        <v>0</v>
      </c>
      <c r="Y127" s="1" t="n">
        <v>1</v>
      </c>
      <c r="Z127" s="3" t="n">
        <v>27</v>
      </c>
      <c r="AA127" s="1" t="n">
        <v>4</v>
      </c>
      <c r="AB127" s="1" t="n">
        <v>96</v>
      </c>
      <c r="AC127" s="1" t="n">
        <v>2</v>
      </c>
      <c r="AD127" s="1" t="n">
        <v>59</v>
      </c>
      <c r="AE127" s="1" t="n">
        <v>3</v>
      </c>
      <c r="AF127" s="1" t="n">
        <v>82</v>
      </c>
      <c r="AG127" s="1" t="n">
        <v>2</v>
      </c>
      <c r="AH127" s="1" t="n">
        <v>56</v>
      </c>
      <c r="AI127" s="1" t="n">
        <v>0</v>
      </c>
      <c r="AJ127" s="1" t="n">
        <v>0</v>
      </c>
      <c r="AK127" s="1" t="n">
        <v>12</v>
      </c>
      <c r="AL127" s="4" t="n">
        <v>320</v>
      </c>
      <c r="AM127" s="21" t="n">
        <v>836286</v>
      </c>
      <c r="AN127" s="21" t="n">
        <v>240768</v>
      </c>
      <c r="AO127" s="21" t="n">
        <v>0</v>
      </c>
      <c r="AP127" s="21" t="n">
        <v>0</v>
      </c>
      <c r="AQ127" s="21" t="n">
        <v>22913</v>
      </c>
      <c r="AR127" s="21" t="n">
        <v>4140</v>
      </c>
      <c r="AS127" s="22" t="n">
        <v>0</v>
      </c>
      <c r="AU127" s="22" t="n">
        <v>2</v>
      </c>
      <c r="AV127" s="1" t="s">
        <v>1702</v>
      </c>
      <c r="AW127" s="22" t="n">
        <v>0</v>
      </c>
      <c r="AY127" s="21" t="n">
        <v>25.25</v>
      </c>
      <c r="AZ127" s="21" t="n">
        <v>22</v>
      </c>
      <c r="BA127" s="21" t="n">
        <v>47.25</v>
      </c>
      <c r="BB127" s="1" t="s">
        <v>1703</v>
      </c>
      <c r="BC127" s="22" t="n">
        <v>12</v>
      </c>
      <c r="BD127" s="1" t="s">
        <v>1704</v>
      </c>
      <c r="BE127" s="22" t="n">
        <v>25</v>
      </c>
      <c r="BF127" s="1" t="s">
        <v>1705</v>
      </c>
      <c r="BG127" s="22" t="n">
        <v>5</v>
      </c>
      <c r="BH127" s="21" t="n">
        <v>1237.24</v>
      </c>
      <c r="BI127" s="21" t="n">
        <v>811.34</v>
      </c>
      <c r="BJ127" s="23" t="s">
        <v>268</v>
      </c>
    </row>
    <row r="128" s="1" customFormat="true" ht="14.25" hidden="true" customHeight="false" outlineLevel="0" collapsed="false">
      <c r="A128" s="1" t="s">
        <v>1706</v>
      </c>
      <c r="B128" s="1" t="s">
        <v>1707</v>
      </c>
      <c r="C128" s="1" t="s">
        <v>59</v>
      </c>
      <c r="D128" s="1" t="s">
        <v>234</v>
      </c>
      <c r="E128" s="1" t="s">
        <v>757</v>
      </c>
      <c r="F128" s="1" t="s">
        <v>1708</v>
      </c>
      <c r="G128" s="20" t="s">
        <v>1709</v>
      </c>
      <c r="H128" s="1" t="s">
        <v>1710</v>
      </c>
      <c r="I128" s="1" t="s">
        <v>1711</v>
      </c>
      <c r="J128" s="1" t="s">
        <v>1712</v>
      </c>
      <c r="K128" s="1" t="s">
        <v>1713</v>
      </c>
      <c r="L128" s="1" t="s">
        <v>1714</v>
      </c>
      <c r="M128" s="20" t="n">
        <v>2</v>
      </c>
      <c r="N128" s="1" t="s">
        <v>1708</v>
      </c>
      <c r="O128" s="1" t="s">
        <v>1708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1</v>
      </c>
      <c r="Z128" s="3" t="n">
        <v>26</v>
      </c>
      <c r="AA128" s="1" t="n">
        <v>2</v>
      </c>
      <c r="AB128" s="1" t="n">
        <v>51</v>
      </c>
      <c r="AC128" s="1" t="n">
        <v>3</v>
      </c>
      <c r="AD128" s="1" t="n">
        <v>90</v>
      </c>
      <c r="AE128" s="1" t="n">
        <v>2</v>
      </c>
      <c r="AF128" s="1" t="n">
        <v>59</v>
      </c>
      <c r="AG128" s="1" t="n">
        <v>2</v>
      </c>
      <c r="AH128" s="1" t="n">
        <v>49</v>
      </c>
      <c r="AI128" s="1" t="n">
        <v>0</v>
      </c>
      <c r="AJ128" s="1" t="n">
        <v>0</v>
      </c>
      <c r="AK128" s="1" t="n">
        <v>10</v>
      </c>
      <c r="AL128" s="4" t="n">
        <v>275</v>
      </c>
      <c r="AM128" s="21" t="n">
        <v>702578</v>
      </c>
      <c r="AN128" s="21" t="n">
        <v>204482</v>
      </c>
      <c r="AO128" s="21" t="n">
        <v>0</v>
      </c>
      <c r="AP128" s="21" t="n">
        <v>0</v>
      </c>
      <c r="AQ128" s="21" t="n">
        <v>6393.9</v>
      </c>
      <c r="AR128" s="21" t="n">
        <v>0</v>
      </c>
      <c r="AS128" s="22" t="n">
        <v>0</v>
      </c>
      <c r="AU128" s="22" t="n">
        <v>0</v>
      </c>
      <c r="AW128" s="22" t="n">
        <v>0</v>
      </c>
      <c r="AY128" s="21" t="n">
        <v>22.3</v>
      </c>
      <c r="AZ128" s="21" t="n">
        <v>20.5</v>
      </c>
      <c r="BA128" s="21" t="n">
        <v>42.8</v>
      </c>
      <c r="BB128" s="1" t="s">
        <v>1715</v>
      </c>
      <c r="BC128" s="22" t="n">
        <v>18</v>
      </c>
      <c r="BD128" s="1" t="s">
        <v>1716</v>
      </c>
      <c r="BE128" s="22" t="n">
        <v>18</v>
      </c>
      <c r="BG128" s="22"/>
      <c r="BH128" s="21" t="n">
        <v>1304.41</v>
      </c>
      <c r="BI128" s="21" t="n">
        <v>825</v>
      </c>
      <c r="BJ128" s="23" t="s">
        <v>101</v>
      </c>
    </row>
    <row r="129" s="1" customFormat="true" ht="14.25" hidden="true" customHeight="false" outlineLevel="0" collapsed="false">
      <c r="A129" s="1" t="s">
        <v>1717</v>
      </c>
      <c r="B129" s="1" t="s">
        <v>1718</v>
      </c>
      <c r="C129" s="1" t="s">
        <v>59</v>
      </c>
      <c r="D129" s="1" t="s">
        <v>60</v>
      </c>
      <c r="E129" s="1" t="s">
        <v>74</v>
      </c>
      <c r="F129" s="1" t="s">
        <v>1719</v>
      </c>
      <c r="G129" s="20" t="s">
        <v>1720</v>
      </c>
      <c r="H129" s="1" t="s">
        <v>1721</v>
      </c>
      <c r="I129" s="1" t="s">
        <v>1722</v>
      </c>
      <c r="J129" s="1" t="s">
        <v>1723</v>
      </c>
      <c r="K129" s="1" t="s">
        <v>1724</v>
      </c>
      <c r="L129" s="1" t="n">
        <v>773</v>
      </c>
      <c r="M129" s="20" t="n">
        <v>3</v>
      </c>
      <c r="N129" s="1" t="s">
        <v>1719</v>
      </c>
      <c r="O129" s="1" t="s">
        <v>1725</v>
      </c>
      <c r="P129" s="1" t="s">
        <v>1726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3" t="n">
        <v>0</v>
      </c>
      <c r="AA129" s="1" t="n">
        <v>2</v>
      </c>
      <c r="AB129" s="1" t="n">
        <v>54</v>
      </c>
      <c r="AC129" s="1" t="n">
        <v>1</v>
      </c>
      <c r="AD129" s="1" t="n">
        <v>31</v>
      </c>
      <c r="AE129" s="1" t="n">
        <v>1</v>
      </c>
      <c r="AF129" s="1" t="n">
        <v>33</v>
      </c>
      <c r="AG129" s="1" t="n">
        <v>2</v>
      </c>
      <c r="AH129" s="1" t="n">
        <v>70</v>
      </c>
      <c r="AI129" s="1" t="n">
        <v>0</v>
      </c>
      <c r="AJ129" s="1" t="n">
        <v>0</v>
      </c>
      <c r="AK129" s="1" t="n">
        <v>6</v>
      </c>
      <c r="AL129" s="4" t="n">
        <v>188</v>
      </c>
      <c r="AM129" s="21" t="n">
        <v>608159</v>
      </c>
      <c r="AN129" s="21" t="n">
        <v>145461</v>
      </c>
      <c r="AO129" s="21" t="n">
        <v>21115</v>
      </c>
      <c r="AP129" s="21" t="n">
        <v>0</v>
      </c>
      <c r="AQ129" s="21" t="n">
        <v>15216</v>
      </c>
      <c r="AR129" s="21" t="n">
        <v>0</v>
      </c>
      <c r="AS129" s="22" t="n">
        <v>1</v>
      </c>
      <c r="AT129" s="1" t="s">
        <v>1727</v>
      </c>
      <c r="AU129" s="22" t="n">
        <v>1</v>
      </c>
      <c r="AV129" s="1" t="s">
        <v>1728</v>
      </c>
      <c r="AW129" s="22" t="n">
        <v>0</v>
      </c>
      <c r="AY129" s="21" t="n">
        <v>13.5</v>
      </c>
      <c r="AZ129" s="21" t="n">
        <v>12</v>
      </c>
      <c r="BA129" s="21" t="n">
        <v>25.5</v>
      </c>
      <c r="BB129" s="1" t="s">
        <v>1729</v>
      </c>
      <c r="BC129" s="22" t="n">
        <v>13</v>
      </c>
      <c r="BD129" s="1" t="s">
        <v>1730</v>
      </c>
      <c r="BE129" s="22" t="n">
        <v>13</v>
      </c>
      <c r="BG129" s="22"/>
      <c r="BH129" s="21" t="n">
        <v>1122.33</v>
      </c>
      <c r="BI129" s="21" t="n">
        <v>821.95</v>
      </c>
      <c r="BJ129" s="23" t="s">
        <v>71</v>
      </c>
    </row>
    <row r="130" s="1" customFormat="true" ht="14.25" hidden="true" customHeight="false" outlineLevel="0" collapsed="false">
      <c r="A130" s="1" t="s">
        <v>1731</v>
      </c>
      <c r="B130" s="1" t="s">
        <v>1732</v>
      </c>
      <c r="C130" s="1" t="s">
        <v>59</v>
      </c>
      <c r="D130" s="1" t="s">
        <v>60</v>
      </c>
      <c r="E130" s="1" t="s">
        <v>757</v>
      </c>
      <c r="F130" s="1" t="s">
        <v>1733</v>
      </c>
      <c r="G130" s="20" t="s">
        <v>1734</v>
      </c>
      <c r="H130" s="1" t="s">
        <v>1735</v>
      </c>
      <c r="I130" s="1" t="s">
        <v>1736</v>
      </c>
      <c r="K130" s="1" t="s">
        <v>1737</v>
      </c>
      <c r="L130" s="1" t="s">
        <v>1738</v>
      </c>
      <c r="M130" s="20" t="n">
        <v>1</v>
      </c>
      <c r="N130" s="1" t="s">
        <v>1739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3" t="n">
        <v>0</v>
      </c>
      <c r="AA130" s="1" t="n">
        <v>1</v>
      </c>
      <c r="AB130" s="1" t="n">
        <v>26</v>
      </c>
      <c r="AC130" s="1" t="n">
        <v>1</v>
      </c>
      <c r="AD130" s="1" t="n">
        <v>31</v>
      </c>
      <c r="AE130" s="1" t="n">
        <v>1</v>
      </c>
      <c r="AF130" s="1" t="n">
        <v>30</v>
      </c>
      <c r="AG130" s="1" t="n">
        <v>1</v>
      </c>
      <c r="AH130" s="1" t="n">
        <v>21</v>
      </c>
      <c r="AI130" s="1" t="n">
        <v>0</v>
      </c>
      <c r="AJ130" s="1" t="n">
        <v>0</v>
      </c>
      <c r="AK130" s="1" t="n">
        <v>4</v>
      </c>
      <c r="AL130" s="4" t="n">
        <v>108</v>
      </c>
      <c r="AM130" s="21" t="n">
        <v>295585</v>
      </c>
      <c r="AN130" s="21" t="n">
        <v>75297</v>
      </c>
      <c r="AO130" s="21" t="n">
        <v>0</v>
      </c>
      <c r="AP130" s="21" t="n">
        <v>0</v>
      </c>
      <c r="AQ130" s="21" t="n">
        <v>4288</v>
      </c>
      <c r="AR130" s="21" t="n">
        <v>0</v>
      </c>
      <c r="AS130" s="22" t="n">
        <v>0</v>
      </c>
      <c r="AU130" s="22" t="n">
        <v>0</v>
      </c>
      <c r="AW130" s="22" t="n">
        <v>0</v>
      </c>
      <c r="AY130" s="21" t="n">
        <v>9.33</v>
      </c>
      <c r="AZ130" s="21" t="n">
        <v>9.5</v>
      </c>
      <c r="BA130" s="21" t="n">
        <v>18.83</v>
      </c>
      <c r="BB130" s="1" t="s">
        <v>1740</v>
      </c>
      <c r="BC130" s="22" t="n">
        <v>9</v>
      </c>
      <c r="BD130" s="1" t="s">
        <v>767</v>
      </c>
      <c r="BE130" s="22" t="n">
        <v>5</v>
      </c>
      <c r="BG130" s="22"/>
      <c r="BH130" s="21" t="n">
        <v>1318</v>
      </c>
      <c r="BI130" s="21" t="n">
        <v>726</v>
      </c>
      <c r="BJ130" s="23" t="s">
        <v>186</v>
      </c>
    </row>
    <row r="131" s="1" customFormat="true" ht="14.25" hidden="true" customHeight="false" outlineLevel="0" collapsed="false">
      <c r="A131" s="1" t="s">
        <v>1741</v>
      </c>
      <c r="B131" s="1" t="s">
        <v>1742</v>
      </c>
      <c r="C131" s="1" t="s">
        <v>59</v>
      </c>
      <c r="D131" s="1" t="s">
        <v>1743</v>
      </c>
      <c r="E131" s="1" t="s">
        <v>1375</v>
      </c>
      <c r="F131" s="1" t="s">
        <v>1744</v>
      </c>
      <c r="G131" s="20" t="s">
        <v>1745</v>
      </c>
      <c r="H131" s="1" t="s">
        <v>1746</v>
      </c>
      <c r="I131" s="1" t="s">
        <v>1747</v>
      </c>
      <c r="K131" s="1" t="s">
        <v>1748</v>
      </c>
      <c r="L131" s="1" t="s">
        <v>1749</v>
      </c>
      <c r="M131" s="20" t="n">
        <v>2</v>
      </c>
      <c r="N131" s="1" t="s">
        <v>1750</v>
      </c>
      <c r="O131" s="1" t="s">
        <v>1751</v>
      </c>
      <c r="U131" s="1" t="n">
        <v>1</v>
      </c>
      <c r="V131" s="1" t="n">
        <v>0</v>
      </c>
      <c r="W131" s="1" t="n">
        <v>0</v>
      </c>
      <c r="X131" s="1" t="n">
        <v>1</v>
      </c>
      <c r="Y131" s="1" t="n">
        <v>0</v>
      </c>
      <c r="Z131" s="3" t="n">
        <v>0</v>
      </c>
      <c r="AA131" s="1" t="n">
        <v>3</v>
      </c>
      <c r="AB131" s="1" t="n">
        <v>86</v>
      </c>
      <c r="AC131" s="1" t="n">
        <v>1</v>
      </c>
      <c r="AD131" s="1" t="n">
        <v>30</v>
      </c>
      <c r="AE131" s="1" t="n">
        <v>2</v>
      </c>
      <c r="AF131" s="1" t="n">
        <v>53</v>
      </c>
      <c r="AG131" s="1" t="n">
        <v>1</v>
      </c>
      <c r="AH131" s="1" t="n">
        <v>27</v>
      </c>
      <c r="AI131" s="1" t="n">
        <v>0</v>
      </c>
      <c r="AJ131" s="1" t="n">
        <v>0</v>
      </c>
      <c r="AK131" s="1" t="n">
        <v>7</v>
      </c>
      <c r="AL131" s="4" t="n">
        <v>196</v>
      </c>
      <c r="AM131" s="21" t="n">
        <v>390466</v>
      </c>
      <c r="AN131" s="21" t="n">
        <v>138376</v>
      </c>
      <c r="AO131" s="21" t="n">
        <v>0</v>
      </c>
      <c r="AP131" s="21" t="n">
        <v>0</v>
      </c>
      <c r="AQ131" s="21" t="n">
        <v>2112</v>
      </c>
      <c r="AR131" s="21" t="n">
        <v>0</v>
      </c>
      <c r="AS131" s="22" t="n">
        <v>0</v>
      </c>
      <c r="AU131" s="22" t="n">
        <v>2</v>
      </c>
      <c r="AW131" s="22" t="n">
        <v>0</v>
      </c>
      <c r="AY131" s="21" t="n">
        <v>15.5</v>
      </c>
      <c r="AZ131" s="21" t="n">
        <v>13</v>
      </c>
      <c r="BA131" s="21" t="n">
        <v>28.5</v>
      </c>
      <c r="BB131" s="1" t="s">
        <v>1752</v>
      </c>
      <c r="BC131" s="22" t="n">
        <v>9</v>
      </c>
      <c r="BD131" s="1" t="s">
        <v>256</v>
      </c>
      <c r="BE131" s="22" t="n">
        <v>1</v>
      </c>
      <c r="BF131" s="1" t="s">
        <v>1753</v>
      </c>
      <c r="BG131" s="22" t="n">
        <v>1</v>
      </c>
      <c r="BH131" s="21" t="n">
        <v>1240.81</v>
      </c>
      <c r="BI131" s="21" t="n">
        <v>819.13</v>
      </c>
      <c r="BJ131" s="23" t="s">
        <v>186</v>
      </c>
    </row>
    <row r="132" s="1" customFormat="true" ht="28.35" hidden="true" customHeight="false" outlineLevel="0" collapsed="false">
      <c r="A132" s="1" t="s">
        <v>1754</v>
      </c>
      <c r="B132" s="1" t="s">
        <v>1755</v>
      </c>
      <c r="C132" s="1" t="s">
        <v>59</v>
      </c>
      <c r="D132" s="1" t="s">
        <v>60</v>
      </c>
      <c r="E132" s="1" t="s">
        <v>368</v>
      </c>
      <c r="F132" s="1" t="s">
        <v>1756</v>
      </c>
      <c r="G132" s="20" t="s">
        <v>1757</v>
      </c>
      <c r="H132" s="1" t="s">
        <v>1758</v>
      </c>
      <c r="I132" s="1" t="s">
        <v>1759</v>
      </c>
      <c r="J132" s="1" t="s">
        <v>1760</v>
      </c>
      <c r="K132" s="1" t="s">
        <v>1761</v>
      </c>
      <c r="L132" s="1" t="s">
        <v>1762</v>
      </c>
      <c r="M132" s="20" t="n">
        <v>1</v>
      </c>
      <c r="N132" s="27" t="s">
        <v>1763</v>
      </c>
      <c r="U132" s="1" t="n">
        <v>0</v>
      </c>
      <c r="V132" s="1" t="n">
        <v>1</v>
      </c>
      <c r="W132" s="1" t="n">
        <v>1</v>
      </c>
      <c r="X132" s="1" t="n">
        <v>0</v>
      </c>
      <c r="Y132" s="1" t="n">
        <v>0</v>
      </c>
      <c r="Z132" s="3" t="n">
        <v>0</v>
      </c>
      <c r="AA132" s="1" t="n">
        <v>1</v>
      </c>
      <c r="AB132" s="1" t="n">
        <v>28</v>
      </c>
      <c r="AC132" s="1" t="n">
        <v>3</v>
      </c>
      <c r="AD132" s="1" t="n">
        <v>93</v>
      </c>
      <c r="AE132" s="1" t="n">
        <v>2</v>
      </c>
      <c r="AF132" s="1" t="n">
        <v>61</v>
      </c>
      <c r="AG132" s="1" t="n">
        <v>1</v>
      </c>
      <c r="AH132" s="1" t="n">
        <v>27</v>
      </c>
      <c r="AI132" s="1" t="n">
        <v>0</v>
      </c>
      <c r="AJ132" s="1" t="n">
        <v>0</v>
      </c>
      <c r="AK132" s="1" t="n">
        <v>7</v>
      </c>
      <c r="AL132" s="4" t="n">
        <v>209</v>
      </c>
      <c r="AM132" s="21" t="n">
        <v>552310</v>
      </c>
      <c r="AN132" s="21" t="n">
        <v>164032</v>
      </c>
      <c r="AO132" s="21" t="n">
        <v>0</v>
      </c>
      <c r="AP132" s="21" t="n">
        <v>0</v>
      </c>
      <c r="AQ132" s="21" t="n">
        <v>6213</v>
      </c>
      <c r="AR132" s="21" t="n">
        <v>0</v>
      </c>
      <c r="AS132" s="22" t="n">
        <v>0</v>
      </c>
      <c r="AU132" s="22" t="n">
        <v>2</v>
      </c>
      <c r="AV132" s="1" t="s">
        <v>1764</v>
      </c>
      <c r="AW132" s="22" t="n">
        <v>1</v>
      </c>
      <c r="AX132" s="1" t="s">
        <v>1765</v>
      </c>
      <c r="AY132" s="21" t="n">
        <v>15.5</v>
      </c>
      <c r="AZ132" s="21" t="n">
        <v>14</v>
      </c>
      <c r="BA132" s="21" t="n">
        <v>29.5</v>
      </c>
      <c r="BB132" s="1" t="s">
        <v>1766</v>
      </c>
      <c r="BC132" s="22" t="n">
        <v>1</v>
      </c>
      <c r="BD132" s="1" t="s">
        <v>321</v>
      </c>
      <c r="BE132" s="22" t="n">
        <v>17</v>
      </c>
      <c r="BF132" s="1" t="s">
        <v>1767</v>
      </c>
      <c r="BG132" s="22" t="n">
        <v>15</v>
      </c>
      <c r="BH132" s="21" t="n">
        <v>1305.01</v>
      </c>
      <c r="BI132" s="21" t="n">
        <v>925.49</v>
      </c>
      <c r="BJ132" s="25" t="s">
        <v>201</v>
      </c>
    </row>
    <row r="133" s="1" customFormat="true" ht="14.25" hidden="true" customHeight="false" outlineLevel="0" collapsed="false">
      <c r="A133" s="1" t="s">
        <v>1768</v>
      </c>
      <c r="B133" s="1" t="s">
        <v>1769</v>
      </c>
      <c r="C133" s="1" t="s">
        <v>59</v>
      </c>
      <c r="D133" s="1" t="s">
        <v>60</v>
      </c>
      <c r="E133" s="1" t="s">
        <v>162</v>
      </c>
      <c r="F133" s="1" t="s">
        <v>1770</v>
      </c>
      <c r="G133" s="20" t="s">
        <v>1771</v>
      </c>
      <c r="H133" s="1" t="s">
        <v>1772</v>
      </c>
      <c r="I133" s="1" t="s">
        <v>1773</v>
      </c>
      <c r="J133" s="1" t="s">
        <v>1774</v>
      </c>
      <c r="K133" s="1" t="s">
        <v>1775</v>
      </c>
      <c r="L133" s="1" t="s">
        <v>1776</v>
      </c>
      <c r="M133" s="20" t="n">
        <v>1</v>
      </c>
      <c r="U133" s="1" t="n">
        <v>2</v>
      </c>
      <c r="V133" s="1" t="n">
        <v>0</v>
      </c>
      <c r="W133" s="1" t="n">
        <v>0</v>
      </c>
      <c r="X133" s="1" t="n">
        <v>1</v>
      </c>
      <c r="Y133" s="1" t="n">
        <v>0</v>
      </c>
      <c r="Z133" s="3" t="n">
        <v>0</v>
      </c>
      <c r="AA133" s="1" t="n">
        <v>2</v>
      </c>
      <c r="AB133" s="1" t="n">
        <v>35</v>
      </c>
      <c r="AC133" s="1" t="n">
        <v>2</v>
      </c>
      <c r="AD133" s="1" t="n">
        <v>37</v>
      </c>
      <c r="AE133" s="1" t="n">
        <v>2</v>
      </c>
      <c r="AF133" s="1" t="n">
        <v>42</v>
      </c>
      <c r="AG133" s="1" t="n">
        <v>2</v>
      </c>
      <c r="AH133" s="1" t="n">
        <v>33</v>
      </c>
      <c r="AI133" s="1" t="n">
        <v>0</v>
      </c>
      <c r="AJ133" s="1" t="n">
        <v>0</v>
      </c>
      <c r="AK133" s="1" t="n">
        <v>8</v>
      </c>
      <c r="AL133" s="4" t="n">
        <v>147</v>
      </c>
      <c r="AM133" s="21" t="n">
        <v>585706</v>
      </c>
      <c r="AN133" s="21" t="n">
        <v>118677</v>
      </c>
      <c r="AO133" s="21" t="n">
        <v>0</v>
      </c>
      <c r="AP133" s="21" t="n">
        <v>0</v>
      </c>
      <c r="AQ133" s="21" t="n">
        <v>3053</v>
      </c>
      <c r="AR133" s="21" t="n">
        <v>0</v>
      </c>
      <c r="AS133" s="22" t="n">
        <v>0</v>
      </c>
      <c r="AU133" s="22" t="n">
        <v>1</v>
      </c>
      <c r="AV133" s="1" t="s">
        <v>292</v>
      </c>
      <c r="AW133" s="22" t="n">
        <v>0</v>
      </c>
      <c r="AY133" s="21" t="n">
        <v>24.5</v>
      </c>
      <c r="AZ133" s="21" t="n">
        <v>13.5</v>
      </c>
      <c r="BA133" s="21" t="n">
        <v>38</v>
      </c>
      <c r="BB133" s="1" t="s">
        <v>1777</v>
      </c>
      <c r="BC133" s="22" t="n">
        <v>13</v>
      </c>
      <c r="BD133" s="1" t="s">
        <v>1778</v>
      </c>
      <c r="BE133" s="22" t="n">
        <v>18</v>
      </c>
      <c r="BF133" s="1" t="s">
        <v>1779</v>
      </c>
      <c r="BG133" s="22" t="n">
        <v>15</v>
      </c>
      <c r="BH133" s="21" t="n">
        <v>1234.3</v>
      </c>
      <c r="BI133" s="21" t="n">
        <v>831.11</v>
      </c>
      <c r="BJ133" s="23" t="s">
        <v>486</v>
      </c>
    </row>
    <row r="134" s="1" customFormat="true" ht="14.25" hidden="true" customHeight="false" outlineLevel="0" collapsed="false">
      <c r="A134" s="1" t="s">
        <v>1780</v>
      </c>
      <c r="B134" s="1" t="s">
        <v>1781</v>
      </c>
      <c r="C134" s="1" t="s">
        <v>59</v>
      </c>
      <c r="D134" s="1" t="s">
        <v>1782</v>
      </c>
      <c r="E134" s="1" t="s">
        <v>1375</v>
      </c>
      <c r="F134" s="1" t="s">
        <v>1783</v>
      </c>
      <c r="G134" s="20" t="s">
        <v>1784</v>
      </c>
      <c r="H134" s="1" t="s">
        <v>1785</v>
      </c>
      <c r="I134" s="1" t="s">
        <v>1786</v>
      </c>
      <c r="J134" s="1" t="s">
        <v>1787</v>
      </c>
      <c r="K134" s="1" t="s">
        <v>1788</v>
      </c>
      <c r="L134" s="1" t="s">
        <v>1789</v>
      </c>
      <c r="M134" s="20" t="n">
        <v>1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1</v>
      </c>
      <c r="Z134" s="3" t="n">
        <v>22</v>
      </c>
      <c r="AA134" s="1" t="n">
        <v>2</v>
      </c>
      <c r="AB134" s="1" t="n">
        <v>46</v>
      </c>
      <c r="AC134" s="1" t="n">
        <v>1</v>
      </c>
      <c r="AD134" s="1" t="n">
        <v>29</v>
      </c>
      <c r="AE134" s="1" t="n">
        <v>1</v>
      </c>
      <c r="AF134" s="1" t="n">
        <v>20</v>
      </c>
      <c r="AG134" s="1" t="n">
        <v>1</v>
      </c>
      <c r="AH134" s="1" t="n">
        <v>11</v>
      </c>
      <c r="AI134" s="1" t="n">
        <v>0</v>
      </c>
      <c r="AJ134" s="1" t="n">
        <v>0</v>
      </c>
      <c r="AK134" s="1" t="n">
        <v>6</v>
      </c>
      <c r="AL134" s="4" t="n">
        <v>128</v>
      </c>
      <c r="AM134" s="21" t="n">
        <v>210285</v>
      </c>
      <c r="AN134" s="21" t="n">
        <v>64427</v>
      </c>
      <c r="AO134" s="21" t="n">
        <v>0</v>
      </c>
      <c r="AP134" s="21" t="n">
        <v>0</v>
      </c>
      <c r="AQ134" s="21" t="n">
        <v>0</v>
      </c>
      <c r="AR134" s="21" t="n">
        <v>68</v>
      </c>
      <c r="AS134" s="22" t="n">
        <v>0</v>
      </c>
      <c r="AU134" s="22" t="n">
        <v>0</v>
      </c>
      <c r="AW134" s="22" t="n">
        <v>0</v>
      </c>
      <c r="AY134" s="21" t="n">
        <v>5</v>
      </c>
      <c r="AZ134" s="21" t="n">
        <v>7</v>
      </c>
      <c r="BA134" s="21" t="n">
        <v>12</v>
      </c>
      <c r="BB134" s="1" t="s">
        <v>1790</v>
      </c>
      <c r="BC134" s="22" t="n">
        <v>1</v>
      </c>
      <c r="BD134" s="1" t="s">
        <v>1791</v>
      </c>
      <c r="BE134" s="22" t="n">
        <v>5</v>
      </c>
      <c r="BF134" s="1" t="s">
        <v>1792</v>
      </c>
      <c r="BG134" s="22" t="n">
        <v>5</v>
      </c>
      <c r="BH134" s="21" t="n">
        <v>1434.58</v>
      </c>
      <c r="BI134" s="21" t="n">
        <v>770.9</v>
      </c>
      <c r="BJ134" s="23" t="s">
        <v>101</v>
      </c>
    </row>
    <row r="135" s="1" customFormat="true" ht="14.25" hidden="true" customHeight="false" outlineLevel="0" collapsed="false">
      <c r="A135" s="1" t="s">
        <v>1793</v>
      </c>
      <c r="B135" s="1" t="s">
        <v>1794</v>
      </c>
      <c r="C135" s="1" t="s">
        <v>59</v>
      </c>
      <c r="D135" s="1" t="s">
        <v>60</v>
      </c>
      <c r="E135" s="1" t="s">
        <v>162</v>
      </c>
      <c r="F135" s="1" t="s">
        <v>1795</v>
      </c>
      <c r="G135" s="20" t="s">
        <v>1796</v>
      </c>
      <c r="H135" s="1" t="s">
        <v>1797</v>
      </c>
      <c r="I135" s="1" t="s">
        <v>1798</v>
      </c>
      <c r="J135" s="1" t="s">
        <v>1799</v>
      </c>
      <c r="K135" s="1" t="s">
        <v>1800</v>
      </c>
      <c r="L135" s="1" t="s">
        <v>1801</v>
      </c>
      <c r="M135" s="20" t="n">
        <v>1</v>
      </c>
      <c r="U135" s="1" t="n">
        <v>1</v>
      </c>
      <c r="V135" s="1" t="n">
        <v>0</v>
      </c>
      <c r="W135" s="1" t="n">
        <v>1</v>
      </c>
      <c r="X135" s="1" t="n">
        <v>3</v>
      </c>
      <c r="Y135" s="1" t="n">
        <v>0</v>
      </c>
      <c r="Z135" s="3"/>
      <c r="AA135" s="1" t="n">
        <v>1</v>
      </c>
      <c r="AB135" s="1" t="n">
        <v>26</v>
      </c>
      <c r="AC135" s="1" t="n">
        <v>2</v>
      </c>
      <c r="AD135" s="1" t="n">
        <v>60</v>
      </c>
      <c r="AE135" s="1" t="n">
        <v>2</v>
      </c>
      <c r="AF135" s="1" t="n">
        <v>55</v>
      </c>
      <c r="AG135" s="1" t="n">
        <v>1</v>
      </c>
      <c r="AH135" s="1" t="n">
        <v>28</v>
      </c>
      <c r="AI135" s="1" t="n">
        <v>1</v>
      </c>
      <c r="AK135" s="1" t="n">
        <v>7</v>
      </c>
      <c r="AL135" s="4" t="n">
        <v>169</v>
      </c>
      <c r="AM135" s="21" t="n">
        <v>465363</v>
      </c>
      <c r="AN135" s="21" t="n">
        <v>143823</v>
      </c>
      <c r="AO135" s="21" t="n">
        <v>0</v>
      </c>
      <c r="AP135" s="21" t="n">
        <v>2076</v>
      </c>
      <c r="AQ135" s="21" t="n">
        <v>17931</v>
      </c>
      <c r="AR135" s="21" t="n">
        <v>0</v>
      </c>
      <c r="AS135" s="22" t="n">
        <v>0</v>
      </c>
      <c r="AU135" s="22" t="n">
        <v>2</v>
      </c>
      <c r="AV135" s="1" t="s">
        <v>1802</v>
      </c>
      <c r="AW135" s="22" t="n">
        <v>0</v>
      </c>
      <c r="AY135" s="21" t="n">
        <v>13.5</v>
      </c>
      <c r="AZ135" s="21" t="n">
        <v>12.5</v>
      </c>
      <c r="BA135" s="21" t="n">
        <v>26</v>
      </c>
      <c r="BB135" s="1" t="s">
        <v>1803</v>
      </c>
      <c r="BC135" s="22" t="n">
        <v>14</v>
      </c>
      <c r="BD135" s="1" t="s">
        <v>1804</v>
      </c>
      <c r="BE135" s="22" t="n">
        <v>2</v>
      </c>
      <c r="BF135" s="1" t="s">
        <v>1805</v>
      </c>
      <c r="BG135" s="22" t="n">
        <v>1</v>
      </c>
      <c r="BH135" s="21" t="n">
        <v>1361.34</v>
      </c>
      <c r="BI135" s="21" t="n">
        <v>865</v>
      </c>
      <c r="BJ135" s="23" t="s">
        <v>186</v>
      </c>
    </row>
    <row r="136" s="1" customFormat="true" ht="14.25" hidden="true" customHeight="false" outlineLevel="0" collapsed="false">
      <c r="A136" s="1" t="s">
        <v>1806</v>
      </c>
      <c r="B136" s="1" t="s">
        <v>1807</v>
      </c>
      <c r="C136" s="1" t="s">
        <v>59</v>
      </c>
      <c r="D136" s="1" t="s">
        <v>60</v>
      </c>
      <c r="E136" s="1" t="s">
        <v>137</v>
      </c>
      <c r="F136" s="1" t="s">
        <v>1808</v>
      </c>
      <c r="G136" s="20" t="s">
        <v>1809</v>
      </c>
      <c r="H136" s="1" t="s">
        <v>1810</v>
      </c>
      <c r="I136" s="1" t="s">
        <v>1811</v>
      </c>
      <c r="K136" s="1" t="s">
        <v>1812</v>
      </c>
      <c r="L136" s="1" t="s">
        <v>1813</v>
      </c>
      <c r="M136" s="20" t="n">
        <v>2</v>
      </c>
      <c r="N136" s="1" t="s">
        <v>1814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2</v>
      </c>
      <c r="Z136" s="3" t="n">
        <v>49</v>
      </c>
      <c r="AA136" s="1" t="n">
        <v>2</v>
      </c>
      <c r="AB136" s="1" t="n">
        <v>74</v>
      </c>
      <c r="AC136" s="1" t="n">
        <v>2</v>
      </c>
      <c r="AD136" s="1" t="n">
        <v>62</v>
      </c>
      <c r="AE136" s="1" t="n">
        <v>1</v>
      </c>
      <c r="AF136" s="1" t="n">
        <v>33</v>
      </c>
      <c r="AG136" s="1" t="n">
        <v>1</v>
      </c>
      <c r="AH136" s="1" t="n">
        <v>31</v>
      </c>
      <c r="AI136" s="1" t="n">
        <v>0</v>
      </c>
      <c r="AJ136" s="1" t="n">
        <v>0</v>
      </c>
      <c r="AK136" s="1" t="n">
        <v>8</v>
      </c>
      <c r="AL136" s="4" t="n">
        <v>249</v>
      </c>
      <c r="AM136" s="21" t="n">
        <v>658345</v>
      </c>
      <c r="AN136" s="21" t="n">
        <v>201453</v>
      </c>
      <c r="AO136" s="21" t="n">
        <v>0</v>
      </c>
      <c r="AP136" s="21" t="n">
        <v>0</v>
      </c>
      <c r="AQ136" s="21" t="n">
        <v>5998</v>
      </c>
      <c r="AR136" s="21" t="n">
        <v>0</v>
      </c>
      <c r="AS136" s="22" t="n">
        <v>0</v>
      </c>
      <c r="AU136" s="22" t="n">
        <v>0</v>
      </c>
      <c r="AW136" s="22" t="n">
        <v>0</v>
      </c>
      <c r="AY136" s="21" t="n">
        <v>15</v>
      </c>
      <c r="AZ136" s="21" t="n">
        <v>21</v>
      </c>
      <c r="BA136" s="21" t="n">
        <v>36</v>
      </c>
      <c r="BC136" s="22"/>
      <c r="BE136" s="22"/>
      <c r="BG136" s="22"/>
      <c r="BH136" s="21" t="n">
        <v>1295</v>
      </c>
      <c r="BI136" s="21" t="n">
        <v>779</v>
      </c>
      <c r="BJ136" s="23" t="s">
        <v>71</v>
      </c>
    </row>
    <row r="137" s="1" customFormat="true" ht="14.25" hidden="true" customHeight="false" outlineLevel="0" collapsed="false">
      <c r="A137" s="1" t="s">
        <v>1815</v>
      </c>
      <c r="B137" s="1" t="s">
        <v>1816</v>
      </c>
      <c r="C137" s="1" t="s">
        <v>59</v>
      </c>
      <c r="D137" s="1" t="s">
        <v>60</v>
      </c>
      <c r="E137" s="1" t="s">
        <v>118</v>
      </c>
      <c r="F137" s="1" t="s">
        <v>1817</v>
      </c>
      <c r="G137" s="20" t="s">
        <v>1818</v>
      </c>
      <c r="H137" s="1" t="s">
        <v>1819</v>
      </c>
      <c r="I137" s="1" t="s">
        <v>1820</v>
      </c>
      <c r="J137" s="1" t="s">
        <v>1821</v>
      </c>
      <c r="K137" s="1" t="s">
        <v>1822</v>
      </c>
      <c r="L137" s="1" t="s">
        <v>1823</v>
      </c>
      <c r="M137" s="20" t="n">
        <v>2</v>
      </c>
      <c r="U137" s="1" t="n">
        <v>0</v>
      </c>
      <c r="V137" s="1" t="n">
        <v>0</v>
      </c>
      <c r="W137" s="1" t="n">
        <v>1</v>
      </c>
      <c r="X137" s="1" t="n">
        <v>1</v>
      </c>
      <c r="Y137" s="1" t="n">
        <v>1</v>
      </c>
      <c r="Z137" s="3" t="n">
        <v>23</v>
      </c>
      <c r="AA137" s="1" t="n">
        <v>1</v>
      </c>
      <c r="AB137" s="1" t="n">
        <v>27</v>
      </c>
      <c r="AC137" s="1" t="n">
        <v>2</v>
      </c>
      <c r="AD137" s="1" t="n">
        <v>54</v>
      </c>
      <c r="AE137" s="1" t="n">
        <v>2</v>
      </c>
      <c r="AF137" s="1" t="n">
        <v>51</v>
      </c>
      <c r="AG137" s="1" t="n">
        <v>2</v>
      </c>
      <c r="AH137" s="1" t="n">
        <v>52</v>
      </c>
      <c r="AI137" s="1" t="n">
        <v>0</v>
      </c>
      <c r="AJ137" s="1" t="n">
        <v>0</v>
      </c>
      <c r="AK137" s="1" t="n">
        <v>8</v>
      </c>
      <c r="AL137" s="4" t="n">
        <v>207</v>
      </c>
      <c r="AM137" s="21" t="n">
        <v>527880</v>
      </c>
      <c r="AN137" s="21" t="n">
        <v>184044</v>
      </c>
      <c r="AO137" s="21" t="n">
        <v>0</v>
      </c>
      <c r="AP137" s="21" t="n">
        <v>1779.98</v>
      </c>
      <c r="AQ137" s="21" t="n">
        <v>9419.4</v>
      </c>
      <c r="AR137" s="21" t="n">
        <v>0</v>
      </c>
      <c r="AS137" s="22" t="n">
        <v>0</v>
      </c>
      <c r="AU137" s="22" t="n">
        <v>0</v>
      </c>
      <c r="AW137" s="22" t="n">
        <v>0</v>
      </c>
      <c r="AY137" s="21" t="n">
        <v>18</v>
      </c>
      <c r="AZ137" s="21" t="n">
        <v>16.5</v>
      </c>
      <c r="BA137" s="21" t="n">
        <v>34.5</v>
      </c>
      <c r="BB137" s="1" t="s">
        <v>1824</v>
      </c>
      <c r="BC137" s="22" t="n">
        <v>3</v>
      </c>
      <c r="BD137" s="1" t="s">
        <v>421</v>
      </c>
      <c r="BE137" s="22" t="n">
        <v>32</v>
      </c>
      <c r="BF137" s="1" t="s">
        <v>115</v>
      </c>
      <c r="BG137" s="22" t="n">
        <v>54</v>
      </c>
      <c r="BH137" s="21" t="n">
        <v>1285.76</v>
      </c>
      <c r="BI137" s="21" t="n">
        <v>813.51</v>
      </c>
      <c r="BJ137" s="23" t="s">
        <v>486</v>
      </c>
    </row>
    <row r="138" s="1" customFormat="true" ht="14.25" hidden="true" customHeight="false" outlineLevel="0" collapsed="false">
      <c r="A138" s="1" t="s">
        <v>1825</v>
      </c>
      <c r="B138" s="1" t="s">
        <v>1826</v>
      </c>
      <c r="C138" s="1" t="s">
        <v>59</v>
      </c>
      <c r="D138" s="1" t="s">
        <v>60</v>
      </c>
      <c r="E138" s="1" t="s">
        <v>355</v>
      </c>
      <c r="F138" s="1" t="s">
        <v>1827</v>
      </c>
      <c r="G138" s="20" t="s">
        <v>1828</v>
      </c>
      <c r="H138" s="1" t="s">
        <v>1829</v>
      </c>
      <c r="K138" s="1" t="s">
        <v>1830</v>
      </c>
      <c r="L138" s="1" t="s">
        <v>1831</v>
      </c>
      <c r="M138" s="20" t="n">
        <v>2</v>
      </c>
      <c r="N138" s="1" t="s">
        <v>1832</v>
      </c>
      <c r="U138" s="1" t="n">
        <v>0</v>
      </c>
      <c r="V138" s="1" t="n">
        <v>0</v>
      </c>
      <c r="W138" s="1" t="n">
        <v>1</v>
      </c>
      <c r="X138" s="1" t="n">
        <v>0</v>
      </c>
      <c r="Y138" s="1" t="n">
        <v>1</v>
      </c>
      <c r="Z138" s="3" t="n">
        <v>25</v>
      </c>
      <c r="AA138" s="1" t="n">
        <v>2</v>
      </c>
      <c r="AB138" s="1" t="n">
        <v>57</v>
      </c>
      <c r="AC138" s="1" t="n">
        <v>2</v>
      </c>
      <c r="AD138" s="1" t="n">
        <v>56</v>
      </c>
      <c r="AE138" s="1" t="n">
        <v>3</v>
      </c>
      <c r="AF138" s="1" t="n">
        <v>87</v>
      </c>
      <c r="AG138" s="1" t="n">
        <v>2</v>
      </c>
      <c r="AH138" s="1" t="n">
        <v>59</v>
      </c>
      <c r="AI138" s="1" t="n">
        <v>2</v>
      </c>
      <c r="AJ138" s="1" t="n">
        <v>15</v>
      </c>
      <c r="AK138" s="1" t="n">
        <v>12</v>
      </c>
      <c r="AL138" s="4" t="n">
        <v>299</v>
      </c>
      <c r="AM138" s="21" t="n">
        <v>737240</v>
      </c>
      <c r="AN138" s="21" t="n">
        <v>150549</v>
      </c>
      <c r="AO138" s="21" t="n">
        <v>0</v>
      </c>
      <c r="AP138" s="21" t="n">
        <v>0</v>
      </c>
      <c r="AQ138" s="21" t="n">
        <v>11215</v>
      </c>
      <c r="AR138" s="21" t="n">
        <v>0</v>
      </c>
      <c r="AS138" s="22" t="n">
        <v>0</v>
      </c>
      <c r="AU138" s="22" t="n">
        <v>0</v>
      </c>
      <c r="AW138" s="22" t="n">
        <v>0</v>
      </c>
      <c r="AY138" s="21" t="n">
        <v>23</v>
      </c>
      <c r="AZ138" s="21" t="n">
        <v>22.5</v>
      </c>
      <c r="BA138" s="21" t="n">
        <v>45.5</v>
      </c>
      <c r="BB138" s="1" t="s">
        <v>1265</v>
      </c>
      <c r="BC138" s="22" t="n">
        <v>23</v>
      </c>
      <c r="BE138" s="22"/>
      <c r="BG138" s="22"/>
      <c r="BH138" s="21" t="n">
        <v>1118</v>
      </c>
      <c r="BI138" s="21" t="n">
        <v>820</v>
      </c>
      <c r="BJ138" s="23" t="s">
        <v>186</v>
      </c>
    </row>
    <row r="139" s="1" customFormat="true" ht="14.25" hidden="true" customHeight="false" outlineLevel="0" collapsed="false">
      <c r="A139" s="1" t="s">
        <v>1833</v>
      </c>
      <c r="B139" s="1" t="s">
        <v>1834</v>
      </c>
      <c r="C139" s="1" t="s">
        <v>59</v>
      </c>
      <c r="D139" s="1" t="s">
        <v>1835</v>
      </c>
      <c r="E139" s="1" t="s">
        <v>625</v>
      </c>
      <c r="F139" s="1" t="s">
        <v>1836</v>
      </c>
      <c r="G139" s="20" t="s">
        <v>1837</v>
      </c>
      <c r="H139" s="1" t="s">
        <v>1838</v>
      </c>
      <c r="I139" s="1" t="s">
        <v>1839</v>
      </c>
      <c r="J139" s="1" t="s">
        <v>1840</v>
      </c>
      <c r="K139" s="1" t="s">
        <v>1841</v>
      </c>
      <c r="L139" s="1" t="s">
        <v>1842</v>
      </c>
      <c r="M139" s="20" t="n">
        <v>1</v>
      </c>
      <c r="N139" s="1" t="s">
        <v>1843</v>
      </c>
      <c r="U139" s="1" t="n">
        <v>0</v>
      </c>
      <c r="V139" s="1" t="n">
        <v>0</v>
      </c>
      <c r="W139" s="1" t="n">
        <v>1</v>
      </c>
      <c r="X139" s="1" t="n">
        <v>1</v>
      </c>
      <c r="Y139" s="1" t="n">
        <v>1</v>
      </c>
      <c r="Z139" s="3" t="n">
        <v>23</v>
      </c>
      <c r="AA139" s="1" t="n">
        <v>1</v>
      </c>
      <c r="AB139" s="1" t="n">
        <v>30</v>
      </c>
      <c r="AC139" s="1" t="n">
        <v>1</v>
      </c>
      <c r="AD139" s="1" t="n">
        <v>23</v>
      </c>
      <c r="AF139" s="1" t="n">
        <v>9</v>
      </c>
      <c r="AG139" s="1" t="n">
        <v>1</v>
      </c>
      <c r="AH139" s="1" t="n">
        <v>16</v>
      </c>
      <c r="AK139" s="1" t="n">
        <v>4</v>
      </c>
      <c r="AL139" s="4" t="n">
        <v>101</v>
      </c>
      <c r="AM139" s="21" t="n">
        <v>272139</v>
      </c>
      <c r="AN139" s="21" t="n">
        <v>71992</v>
      </c>
      <c r="AO139" s="21" t="n">
        <v>0</v>
      </c>
      <c r="AP139" s="21" t="n">
        <v>0</v>
      </c>
      <c r="AQ139" s="21" t="n">
        <v>2586.6</v>
      </c>
      <c r="AR139" s="21" t="n">
        <v>0</v>
      </c>
      <c r="AS139" s="22"/>
      <c r="AU139" s="22"/>
      <c r="AW139" s="22"/>
      <c r="AY139" s="21" t="n">
        <v>7.5</v>
      </c>
      <c r="AZ139" s="21" t="n">
        <v>9.5</v>
      </c>
      <c r="BA139" s="21" t="n">
        <v>17</v>
      </c>
      <c r="BB139" s="1" t="s">
        <v>1844</v>
      </c>
      <c r="BC139" s="22" t="n">
        <v>2</v>
      </c>
      <c r="BD139" s="1" t="s">
        <v>1845</v>
      </c>
      <c r="BE139" s="22" t="n">
        <v>7</v>
      </c>
      <c r="BG139" s="22"/>
      <c r="BH139" s="21" t="n">
        <v>1250.95</v>
      </c>
      <c r="BI139" s="21" t="n">
        <v>753.27</v>
      </c>
      <c r="BJ139" s="23" t="s">
        <v>409</v>
      </c>
    </row>
    <row r="140" s="1" customFormat="true" ht="28.35" hidden="true" customHeight="false" outlineLevel="0" collapsed="false">
      <c r="A140" s="1" t="s">
        <v>1846</v>
      </c>
      <c r="B140" s="1" t="s">
        <v>1847</v>
      </c>
      <c r="C140" s="1" t="s">
        <v>59</v>
      </c>
      <c r="D140" s="1" t="s">
        <v>60</v>
      </c>
      <c r="E140" s="1" t="s">
        <v>312</v>
      </c>
      <c r="F140" s="1" t="s">
        <v>1848</v>
      </c>
      <c r="G140" s="20" t="s">
        <v>1849</v>
      </c>
      <c r="H140" s="1" t="s">
        <v>1850</v>
      </c>
      <c r="I140" s="1" t="s">
        <v>1851</v>
      </c>
      <c r="J140" s="1" t="s">
        <v>1852</v>
      </c>
      <c r="K140" s="1" t="s">
        <v>1853</v>
      </c>
      <c r="L140" s="27" t="s">
        <v>1854</v>
      </c>
      <c r="M140" s="20" t="n">
        <v>2</v>
      </c>
      <c r="N140" s="1" t="s">
        <v>1855</v>
      </c>
      <c r="O140" s="1" t="s">
        <v>1856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3" t="n">
        <v>0</v>
      </c>
      <c r="AA140" s="1" t="n">
        <v>2</v>
      </c>
      <c r="AB140" s="1" t="n">
        <v>51</v>
      </c>
      <c r="AC140" s="1" t="n">
        <v>2</v>
      </c>
      <c r="AD140" s="1" t="n">
        <v>39</v>
      </c>
      <c r="AE140" s="1" t="n">
        <v>2</v>
      </c>
      <c r="AF140" s="1" t="n">
        <v>52</v>
      </c>
      <c r="AG140" s="1" t="n">
        <v>3</v>
      </c>
      <c r="AH140" s="1" t="n">
        <v>81</v>
      </c>
      <c r="AI140" s="1" t="n">
        <v>0</v>
      </c>
      <c r="AJ140" s="1" t="n">
        <v>0</v>
      </c>
      <c r="AK140" s="1" t="n">
        <v>9</v>
      </c>
      <c r="AL140" s="4" t="n">
        <v>223</v>
      </c>
      <c r="AM140" s="21" t="n">
        <v>795291</v>
      </c>
      <c r="AN140" s="21" t="n">
        <v>169360</v>
      </c>
      <c r="AO140" s="21" t="n">
        <v>28507</v>
      </c>
      <c r="AP140" s="21" t="n">
        <v>1520</v>
      </c>
      <c r="AQ140" s="21" t="n">
        <v>17636</v>
      </c>
      <c r="AR140" s="21" t="n">
        <v>0</v>
      </c>
      <c r="AS140" s="22" t="n">
        <v>1</v>
      </c>
      <c r="AT140" s="1" t="s">
        <v>1857</v>
      </c>
      <c r="AU140" s="22" t="n">
        <v>1</v>
      </c>
      <c r="AV140" s="1" t="s">
        <v>1858</v>
      </c>
      <c r="AW140" s="22" t="n">
        <v>1</v>
      </c>
      <c r="AX140" s="1" t="s">
        <v>1859</v>
      </c>
      <c r="AY140" s="21" t="n">
        <v>24.75</v>
      </c>
      <c r="AZ140" s="21" t="n">
        <v>15.75</v>
      </c>
      <c r="BA140" s="21" t="n">
        <v>40.5</v>
      </c>
      <c r="BB140" s="1" t="s">
        <v>1860</v>
      </c>
      <c r="BC140" s="22" t="n">
        <v>18</v>
      </c>
      <c r="BD140" s="1" t="s">
        <v>1861</v>
      </c>
      <c r="BE140" s="22" t="n">
        <v>24</v>
      </c>
      <c r="BG140" s="22"/>
      <c r="BH140" s="21" t="n">
        <v>1292.8</v>
      </c>
      <c r="BI140" s="21" t="n">
        <v>859.74</v>
      </c>
      <c r="BJ140" s="23" t="s">
        <v>173</v>
      </c>
    </row>
    <row r="141" s="1" customFormat="true" ht="14.25" hidden="true" customHeight="false" outlineLevel="0" collapsed="false">
      <c r="A141" s="1" t="s">
        <v>1862</v>
      </c>
      <c r="B141" s="1" t="s">
        <v>1863</v>
      </c>
      <c r="C141" s="1" t="s">
        <v>59</v>
      </c>
      <c r="D141" s="1" t="s">
        <v>60</v>
      </c>
      <c r="E141" s="1" t="s">
        <v>162</v>
      </c>
      <c r="F141" s="1" t="s">
        <v>1864</v>
      </c>
      <c r="G141" s="20" t="s">
        <v>1865</v>
      </c>
      <c r="H141" s="1" t="s">
        <v>1866</v>
      </c>
      <c r="I141" s="1" t="s">
        <v>1867</v>
      </c>
      <c r="K141" s="1" t="s">
        <v>1868</v>
      </c>
      <c r="M141" s="20" t="n">
        <v>3</v>
      </c>
      <c r="N141" s="1" t="s">
        <v>1869</v>
      </c>
      <c r="O141" s="1" t="s">
        <v>1870</v>
      </c>
      <c r="U141" s="1" t="n">
        <v>1</v>
      </c>
      <c r="V141" s="1" t="n">
        <v>0</v>
      </c>
      <c r="W141" s="1" t="n">
        <v>1</v>
      </c>
      <c r="X141" s="1" t="n">
        <v>2</v>
      </c>
      <c r="Y141" s="1" t="n">
        <v>0</v>
      </c>
      <c r="Z141" s="3" t="n">
        <v>0</v>
      </c>
      <c r="AA141" s="1" t="n">
        <v>3</v>
      </c>
      <c r="AB141" s="1" t="n">
        <v>77</v>
      </c>
      <c r="AC141" s="1" t="n">
        <v>2</v>
      </c>
      <c r="AD141" s="1" t="n">
        <v>57</v>
      </c>
      <c r="AE141" s="1" t="n">
        <v>2</v>
      </c>
      <c r="AF141" s="1" t="n">
        <v>60</v>
      </c>
      <c r="AG141" s="1" t="n">
        <v>1</v>
      </c>
      <c r="AH141" s="1" t="n">
        <v>36</v>
      </c>
      <c r="AK141" s="1" t="n">
        <v>8</v>
      </c>
      <c r="AL141" s="4" t="n">
        <v>230</v>
      </c>
      <c r="AM141" s="21" t="n">
        <v>568231</v>
      </c>
      <c r="AN141" s="21" t="n">
        <v>183074</v>
      </c>
      <c r="AO141" s="21"/>
      <c r="AP141" s="21"/>
      <c r="AQ141" s="21" t="n">
        <v>24218</v>
      </c>
      <c r="AR141" s="21" t="n">
        <v>0</v>
      </c>
      <c r="AS141" s="22" t="n">
        <v>0</v>
      </c>
      <c r="AU141" s="22" t="n">
        <v>0</v>
      </c>
      <c r="AW141" s="22" t="n">
        <v>0</v>
      </c>
      <c r="AY141" s="21" t="n">
        <v>17.5</v>
      </c>
      <c r="AZ141" s="21" t="n">
        <v>15.5</v>
      </c>
      <c r="BA141" s="21" t="n">
        <v>33</v>
      </c>
      <c r="BB141" s="1" t="s">
        <v>198</v>
      </c>
      <c r="BC141" s="22" t="n">
        <v>14</v>
      </c>
      <c r="BD141" s="1" t="s">
        <v>1871</v>
      </c>
      <c r="BE141" s="22" t="n">
        <v>2</v>
      </c>
      <c r="BF141" s="1" t="s">
        <v>1872</v>
      </c>
      <c r="BG141" s="22" t="n">
        <v>2</v>
      </c>
      <c r="BH141" s="21" t="n">
        <v>1442.38</v>
      </c>
      <c r="BI141" s="21" t="n">
        <v>803.24</v>
      </c>
      <c r="BJ141" s="23" t="s">
        <v>1389</v>
      </c>
    </row>
    <row r="142" s="1" customFormat="true" ht="14.25" hidden="true" customHeight="false" outlineLevel="0" collapsed="false">
      <c r="A142" s="1" t="s">
        <v>1873</v>
      </c>
      <c r="B142" s="1" t="s">
        <v>1874</v>
      </c>
      <c r="C142" s="1" t="s">
        <v>59</v>
      </c>
      <c r="D142" s="1" t="s">
        <v>1875</v>
      </c>
      <c r="E142" s="1" t="s">
        <v>91</v>
      </c>
      <c r="F142" s="1" t="s">
        <v>1876</v>
      </c>
      <c r="G142" s="20" t="s">
        <v>1877</v>
      </c>
      <c r="H142" s="1" t="s">
        <v>1878</v>
      </c>
      <c r="I142" s="1" t="s">
        <v>1879</v>
      </c>
      <c r="J142" s="1" t="s">
        <v>1880</v>
      </c>
      <c r="K142" s="1" t="s">
        <v>1881</v>
      </c>
      <c r="L142" s="1" t="s">
        <v>1882</v>
      </c>
      <c r="M142" s="20" t="n">
        <v>2</v>
      </c>
      <c r="N142" s="1" t="s">
        <v>1883</v>
      </c>
      <c r="O142" s="1" t="s">
        <v>1883</v>
      </c>
      <c r="U142" s="1" t="n">
        <v>1</v>
      </c>
      <c r="V142" s="1" t="n">
        <v>0</v>
      </c>
      <c r="W142" s="1" t="n">
        <v>0</v>
      </c>
      <c r="X142" s="1" t="n">
        <v>2</v>
      </c>
      <c r="Y142" s="1" t="n">
        <v>0</v>
      </c>
      <c r="Z142" s="3" t="n">
        <v>0</v>
      </c>
      <c r="AA142" s="1" t="n">
        <v>1</v>
      </c>
      <c r="AB142" s="1" t="n">
        <v>33</v>
      </c>
      <c r="AC142" s="1" t="n">
        <v>1</v>
      </c>
      <c r="AD142" s="1" t="n">
        <v>35</v>
      </c>
      <c r="AE142" s="1" t="n">
        <v>1</v>
      </c>
      <c r="AF142" s="1" t="n">
        <v>27</v>
      </c>
      <c r="AG142" s="1" t="n">
        <v>1</v>
      </c>
      <c r="AH142" s="1" t="n">
        <v>25</v>
      </c>
      <c r="AI142" s="1" t="n">
        <v>1</v>
      </c>
      <c r="AJ142" s="1" t="n">
        <v>13</v>
      </c>
      <c r="AK142" s="1" t="n">
        <v>5</v>
      </c>
      <c r="AL142" s="4" t="n">
        <v>133</v>
      </c>
      <c r="AM142" s="21" t="n">
        <v>373334</v>
      </c>
      <c r="AN142" s="21" t="n">
        <v>99758</v>
      </c>
      <c r="AO142" s="21" t="n">
        <v>0</v>
      </c>
      <c r="AP142" s="21" t="n">
        <v>0</v>
      </c>
      <c r="AQ142" s="21" t="n">
        <v>2841</v>
      </c>
      <c r="AR142" s="21" t="n">
        <v>0</v>
      </c>
      <c r="AS142" s="22" t="n">
        <v>0</v>
      </c>
      <c r="AU142" s="22" t="n">
        <v>0</v>
      </c>
      <c r="AW142" s="22" t="n">
        <v>0</v>
      </c>
      <c r="AY142" s="21" t="n">
        <v>11.5</v>
      </c>
      <c r="AZ142" s="21" t="n">
        <v>11.125</v>
      </c>
      <c r="BA142" s="21" t="n">
        <v>22.625</v>
      </c>
      <c r="BB142" s="1" t="s">
        <v>321</v>
      </c>
      <c r="BC142" s="22" t="n">
        <v>10</v>
      </c>
      <c r="BD142" s="1" t="s">
        <v>497</v>
      </c>
      <c r="BE142" s="22" t="n">
        <v>6</v>
      </c>
      <c r="BF142" s="1" t="s">
        <v>1884</v>
      </c>
      <c r="BG142" s="22" t="n">
        <v>8</v>
      </c>
      <c r="BH142" s="21" t="n">
        <v>1262</v>
      </c>
      <c r="BI142" s="21" t="n">
        <v>986</v>
      </c>
      <c r="BJ142" s="23" t="s">
        <v>101</v>
      </c>
    </row>
    <row r="143" s="1" customFormat="true" ht="14.25" hidden="true" customHeight="false" outlineLevel="0" collapsed="false">
      <c r="A143" s="1" t="s">
        <v>1885</v>
      </c>
      <c r="B143" s="1" t="s">
        <v>1886</v>
      </c>
      <c r="C143" s="1" t="s">
        <v>59</v>
      </c>
      <c r="D143" s="1" t="s">
        <v>234</v>
      </c>
      <c r="E143" s="1" t="s">
        <v>235</v>
      </c>
      <c r="F143" s="1" t="s">
        <v>1887</v>
      </c>
      <c r="G143" s="20" t="s">
        <v>1888</v>
      </c>
      <c r="H143" s="1" t="s">
        <v>1889</v>
      </c>
      <c r="I143" s="1" t="s">
        <v>1890</v>
      </c>
      <c r="K143" s="1" t="s">
        <v>1891</v>
      </c>
      <c r="L143" s="1" t="s">
        <v>1892</v>
      </c>
      <c r="M143" s="20" t="n">
        <v>1</v>
      </c>
      <c r="N143" s="1" t="s">
        <v>1887</v>
      </c>
      <c r="U143" s="1" t="n">
        <v>1</v>
      </c>
      <c r="V143" s="1" t="n">
        <v>0</v>
      </c>
      <c r="W143" s="1" t="n">
        <v>0</v>
      </c>
      <c r="X143" s="1" t="n">
        <v>1</v>
      </c>
      <c r="Y143" s="1" t="n">
        <v>3</v>
      </c>
      <c r="Z143" s="3" t="n">
        <v>75</v>
      </c>
      <c r="AA143" s="1" t="n">
        <v>3</v>
      </c>
      <c r="AB143" s="1" t="n">
        <v>78</v>
      </c>
      <c r="AC143" s="1" t="n">
        <v>3</v>
      </c>
      <c r="AD143" s="1" t="n">
        <v>88</v>
      </c>
      <c r="AE143" s="1" t="n">
        <v>2</v>
      </c>
      <c r="AF143" s="1" t="n">
        <v>60</v>
      </c>
      <c r="AG143" s="1" t="n">
        <v>2</v>
      </c>
      <c r="AH143" s="1" t="n">
        <v>54</v>
      </c>
      <c r="AI143" s="1" t="n">
        <v>0</v>
      </c>
      <c r="AJ143" s="1" t="n">
        <v>0</v>
      </c>
      <c r="AK143" s="1" t="n">
        <v>13</v>
      </c>
      <c r="AL143" s="4" t="n">
        <v>355</v>
      </c>
      <c r="AM143" s="21" t="n">
        <v>953377</v>
      </c>
      <c r="AN143" s="21" t="n">
        <v>277707</v>
      </c>
      <c r="AO143" s="21" t="n">
        <v>0</v>
      </c>
      <c r="AP143" s="21" t="n">
        <v>0</v>
      </c>
      <c r="AQ143" s="21" t="n">
        <v>13408</v>
      </c>
      <c r="AR143" s="21" t="n">
        <v>0</v>
      </c>
      <c r="AS143" s="22" t="n">
        <v>0</v>
      </c>
      <c r="AU143" s="22" t="n">
        <v>1</v>
      </c>
      <c r="AV143" s="1" t="s">
        <v>1893</v>
      </c>
      <c r="AW143" s="22" t="n">
        <v>0</v>
      </c>
      <c r="AY143" s="21" t="n">
        <v>23.5</v>
      </c>
      <c r="AZ143" s="21" t="n">
        <v>27.25</v>
      </c>
      <c r="BA143" s="21" t="n">
        <v>50.75</v>
      </c>
      <c r="BB143" s="1" t="s">
        <v>517</v>
      </c>
      <c r="BC143" s="22" t="n">
        <v>22</v>
      </c>
      <c r="BD143" s="1" t="s">
        <v>1894</v>
      </c>
      <c r="BE143" s="22" t="n">
        <v>23</v>
      </c>
      <c r="BG143" s="22"/>
      <c r="BH143" s="21" t="n">
        <v>1261.16</v>
      </c>
      <c r="BI143" s="21" t="n">
        <v>739.99</v>
      </c>
      <c r="BJ143" s="23" t="s">
        <v>268</v>
      </c>
    </row>
    <row r="144" s="1" customFormat="true" ht="14.25" hidden="true" customHeight="false" outlineLevel="0" collapsed="false">
      <c r="A144" s="1" t="s">
        <v>1895</v>
      </c>
      <c r="B144" s="1" t="s">
        <v>1896</v>
      </c>
      <c r="C144" s="1" t="s">
        <v>59</v>
      </c>
      <c r="D144" s="1" t="s">
        <v>60</v>
      </c>
      <c r="E144" s="1" t="s">
        <v>162</v>
      </c>
      <c r="F144" s="1" t="s">
        <v>1897</v>
      </c>
      <c r="G144" s="20" t="s">
        <v>1898</v>
      </c>
      <c r="H144" s="1" t="s">
        <v>1899</v>
      </c>
      <c r="I144" s="1" t="s">
        <v>1900</v>
      </c>
      <c r="J144" s="1" t="s">
        <v>1901</v>
      </c>
      <c r="K144" s="1" t="s">
        <v>1902</v>
      </c>
      <c r="M144" s="20" t="n">
        <v>1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3" t="n">
        <v>0</v>
      </c>
      <c r="AA144" s="1" t="n">
        <v>1</v>
      </c>
      <c r="AB144" s="1" t="n">
        <v>25</v>
      </c>
      <c r="AC144" s="1" t="n">
        <v>1</v>
      </c>
      <c r="AD144" s="1" t="n">
        <v>29</v>
      </c>
      <c r="AE144" s="1" t="n">
        <v>1</v>
      </c>
      <c r="AF144" s="1" t="n">
        <v>25</v>
      </c>
      <c r="AG144" s="1" t="n">
        <v>1</v>
      </c>
      <c r="AH144" s="1" t="n">
        <v>27</v>
      </c>
      <c r="AI144" s="1" t="n">
        <v>0</v>
      </c>
      <c r="AJ144" s="1" t="n">
        <v>0</v>
      </c>
      <c r="AK144" s="1" t="n">
        <v>4</v>
      </c>
      <c r="AL144" s="4" t="n">
        <v>106</v>
      </c>
      <c r="AM144" s="21" t="n">
        <v>317279</v>
      </c>
      <c r="AN144" s="21" t="n">
        <v>82346</v>
      </c>
      <c r="AO144" s="21" t="n">
        <v>0</v>
      </c>
      <c r="AP144" s="21" t="n">
        <v>0</v>
      </c>
      <c r="AQ144" s="21" t="n">
        <v>4826</v>
      </c>
      <c r="AR144" s="21" t="n">
        <v>0</v>
      </c>
      <c r="AS144" s="22" t="n">
        <v>0</v>
      </c>
      <c r="AU144" s="22" t="n">
        <v>1</v>
      </c>
      <c r="AV144" s="1" t="s">
        <v>1482</v>
      </c>
      <c r="AW144" s="22" t="n">
        <v>0</v>
      </c>
      <c r="AY144" s="21" t="n">
        <v>8.5</v>
      </c>
      <c r="AZ144" s="21" t="n">
        <v>9.5</v>
      </c>
      <c r="BA144" s="21" t="n">
        <v>18</v>
      </c>
      <c r="BB144" s="1" t="s">
        <v>1903</v>
      </c>
      <c r="BC144" s="22" t="n">
        <v>4</v>
      </c>
      <c r="BD144" s="1" t="s">
        <v>1904</v>
      </c>
      <c r="BE144" s="22" t="n">
        <v>2</v>
      </c>
      <c r="BF144" s="1" t="s">
        <v>1905</v>
      </c>
      <c r="BG144" s="22" t="n">
        <v>1</v>
      </c>
      <c r="BH144" s="21" t="n">
        <v>1379.9</v>
      </c>
      <c r="BI144" s="21" t="n">
        <v>787.4</v>
      </c>
      <c r="BJ144" s="23" t="s">
        <v>101</v>
      </c>
    </row>
    <row r="145" s="1" customFormat="true" ht="28.35" hidden="true" customHeight="false" outlineLevel="0" collapsed="false">
      <c r="A145" s="1" t="s">
        <v>1906</v>
      </c>
      <c r="B145" s="1" t="s">
        <v>1907</v>
      </c>
      <c r="C145" s="1" t="s">
        <v>59</v>
      </c>
      <c r="D145" s="1" t="s">
        <v>60</v>
      </c>
      <c r="E145" s="1" t="s">
        <v>625</v>
      </c>
      <c r="F145" s="1" t="s">
        <v>1908</v>
      </c>
      <c r="G145" s="20" t="s">
        <v>1909</v>
      </c>
      <c r="H145" s="1" t="s">
        <v>1910</v>
      </c>
      <c r="I145" s="1" t="s">
        <v>1911</v>
      </c>
      <c r="J145" s="1" t="s">
        <v>1912</v>
      </c>
      <c r="K145" s="1" t="s">
        <v>1913</v>
      </c>
      <c r="L145" s="1" t="s">
        <v>1914</v>
      </c>
      <c r="M145" s="20" t="n">
        <v>1</v>
      </c>
      <c r="N145" s="27" t="s">
        <v>1915</v>
      </c>
      <c r="U145" s="1" t="n">
        <v>0</v>
      </c>
      <c r="V145" s="1" t="n">
        <v>0</v>
      </c>
      <c r="W145" s="1" t="n">
        <v>1</v>
      </c>
      <c r="X145" s="1" t="n">
        <v>1</v>
      </c>
      <c r="Y145" s="1" t="n">
        <v>0</v>
      </c>
      <c r="Z145" s="3" t="n">
        <v>0</v>
      </c>
      <c r="AA145" s="1" t="n">
        <v>1</v>
      </c>
      <c r="AB145" s="1" t="n">
        <v>24</v>
      </c>
      <c r="AC145" s="1" t="n">
        <v>1</v>
      </c>
      <c r="AD145" s="1" t="n">
        <v>30</v>
      </c>
      <c r="AE145" s="1" t="n">
        <v>1</v>
      </c>
      <c r="AF145" s="1" t="n">
        <v>22</v>
      </c>
      <c r="AG145" s="1" t="n">
        <v>1</v>
      </c>
      <c r="AH145" s="1" t="n">
        <v>30</v>
      </c>
      <c r="AI145" s="1" t="n">
        <v>0</v>
      </c>
      <c r="AJ145" s="1" t="n">
        <v>0</v>
      </c>
      <c r="AK145" s="1" t="n">
        <v>4</v>
      </c>
      <c r="AL145" s="4" t="n">
        <v>106</v>
      </c>
      <c r="AM145" s="21" t="n">
        <v>318158</v>
      </c>
      <c r="AN145" s="21" t="n">
        <v>79956</v>
      </c>
      <c r="AO145" s="21" t="n">
        <v>0</v>
      </c>
      <c r="AP145" s="21" t="n">
        <v>0</v>
      </c>
      <c r="AQ145" s="21" t="n">
        <v>4342.83</v>
      </c>
      <c r="AR145" s="21" t="n">
        <v>117.5</v>
      </c>
      <c r="AS145" s="22" t="n">
        <v>0</v>
      </c>
      <c r="AU145" s="22" t="n">
        <v>0</v>
      </c>
      <c r="AW145" s="22" t="n">
        <v>0</v>
      </c>
      <c r="AY145" s="21" t="n">
        <v>9</v>
      </c>
      <c r="AZ145" s="21" t="n">
        <v>8.5</v>
      </c>
      <c r="BA145" s="21" t="n">
        <v>17.5</v>
      </c>
      <c r="BB145" s="1" t="s">
        <v>1916</v>
      </c>
      <c r="BC145" s="22" t="n">
        <v>1</v>
      </c>
      <c r="BD145" s="1" t="s">
        <v>1917</v>
      </c>
      <c r="BE145" s="22" t="n">
        <v>9</v>
      </c>
      <c r="BG145" s="22"/>
      <c r="BH145" s="21" t="n">
        <v>1302.07</v>
      </c>
      <c r="BI145" s="21" t="n">
        <v>781.33</v>
      </c>
      <c r="BJ145" s="23" t="s">
        <v>486</v>
      </c>
    </row>
    <row r="146" s="1" customFormat="true" ht="28.35" hidden="true" customHeight="false" outlineLevel="0" collapsed="false">
      <c r="A146" s="1" t="s">
        <v>1918</v>
      </c>
      <c r="B146" s="1" t="s">
        <v>1919</v>
      </c>
      <c r="C146" s="1" t="s">
        <v>59</v>
      </c>
      <c r="D146" s="1" t="s">
        <v>1920</v>
      </c>
      <c r="E146" s="1" t="s">
        <v>625</v>
      </c>
      <c r="F146" s="1" t="s">
        <v>1921</v>
      </c>
      <c r="G146" s="20" t="s">
        <v>1922</v>
      </c>
      <c r="H146" s="1" t="s">
        <v>1923</v>
      </c>
      <c r="I146" s="1" t="s">
        <v>1924</v>
      </c>
      <c r="J146" s="1" t="s">
        <v>1925</v>
      </c>
      <c r="K146" s="1" t="s">
        <v>1926</v>
      </c>
      <c r="L146" s="27" t="s">
        <v>1927</v>
      </c>
      <c r="M146" s="20" t="n">
        <v>5</v>
      </c>
      <c r="N146" s="1" t="s">
        <v>1928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3" t="n">
        <v>0</v>
      </c>
      <c r="AA146" s="1" t="n">
        <v>2</v>
      </c>
      <c r="AB146" s="1" t="n">
        <v>53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2</v>
      </c>
      <c r="AJ146" s="1" t="n">
        <v>53</v>
      </c>
      <c r="AK146" s="1" t="n">
        <v>4</v>
      </c>
      <c r="AL146" s="4" t="n">
        <v>106</v>
      </c>
      <c r="AM146" s="21" t="n">
        <v>279478</v>
      </c>
      <c r="AN146" s="21" t="n">
        <v>88193</v>
      </c>
      <c r="AO146" s="21" t="n">
        <v>2729</v>
      </c>
      <c r="AP146" s="21" t="n">
        <v>0</v>
      </c>
      <c r="AQ146" s="21" t="n">
        <v>0</v>
      </c>
      <c r="AR146" s="21" t="n">
        <v>0</v>
      </c>
      <c r="AS146" s="22" t="n">
        <v>1</v>
      </c>
      <c r="AT146" s="1" t="s">
        <v>1929</v>
      </c>
      <c r="AU146" s="22" t="n">
        <v>0</v>
      </c>
      <c r="AW146" s="22" t="n">
        <v>0</v>
      </c>
      <c r="AY146" s="21" t="n">
        <v>9</v>
      </c>
      <c r="AZ146" s="21" t="n">
        <v>9</v>
      </c>
      <c r="BA146" s="21" t="n">
        <v>18</v>
      </c>
      <c r="BB146" s="1" t="s">
        <v>1930</v>
      </c>
      <c r="BC146" s="22" t="n">
        <v>14</v>
      </c>
      <c r="BE146" s="22"/>
      <c r="BG146" s="22"/>
      <c r="BH146" s="21" t="n">
        <v>1332</v>
      </c>
      <c r="BI146" s="21" t="n">
        <v>804</v>
      </c>
      <c r="BJ146" s="23" t="s">
        <v>1389</v>
      </c>
    </row>
    <row r="147" s="1" customFormat="true" ht="14.25" hidden="true" customHeight="false" outlineLevel="0" collapsed="false">
      <c r="A147" s="1" t="s">
        <v>1931</v>
      </c>
      <c r="B147" s="1" t="s">
        <v>1932</v>
      </c>
      <c r="C147" s="1" t="s">
        <v>59</v>
      </c>
      <c r="D147" s="1" t="s">
        <v>60</v>
      </c>
      <c r="E147" s="1" t="s">
        <v>324</v>
      </c>
      <c r="F147" s="1" t="s">
        <v>1933</v>
      </c>
      <c r="G147" s="20" t="s">
        <v>1934</v>
      </c>
      <c r="H147" s="1" t="s">
        <v>1935</v>
      </c>
      <c r="I147" s="1" t="s">
        <v>1936</v>
      </c>
      <c r="J147" s="1" t="s">
        <v>1937</v>
      </c>
      <c r="K147" s="1" t="s">
        <v>1938</v>
      </c>
      <c r="L147" s="1" t="s">
        <v>1939</v>
      </c>
      <c r="M147" s="20" t="n">
        <v>1</v>
      </c>
      <c r="N147" s="1" t="s">
        <v>1940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3" t="n">
        <v>0</v>
      </c>
      <c r="AA147" s="1" t="n">
        <v>1</v>
      </c>
      <c r="AB147" s="1" t="n">
        <v>25</v>
      </c>
      <c r="AC147" s="1" t="n">
        <v>1</v>
      </c>
      <c r="AD147" s="1" t="n">
        <v>30</v>
      </c>
      <c r="AE147" s="1" t="n">
        <v>1</v>
      </c>
      <c r="AF147" s="1" t="n">
        <v>31</v>
      </c>
      <c r="AG147" s="1" t="n">
        <v>1</v>
      </c>
      <c r="AH147" s="1" t="n">
        <v>31</v>
      </c>
      <c r="AI147" s="1" t="n">
        <v>0</v>
      </c>
      <c r="AJ147" s="1" t="n">
        <v>0</v>
      </c>
      <c r="AK147" s="1" t="n">
        <v>4</v>
      </c>
      <c r="AL147" s="4" t="n">
        <v>117</v>
      </c>
      <c r="AM147" s="21" t="n">
        <v>331899</v>
      </c>
      <c r="AN147" s="21" t="n">
        <v>86040</v>
      </c>
      <c r="AO147" s="21" t="n">
        <v>0</v>
      </c>
      <c r="AP147" s="21" t="n">
        <v>5656</v>
      </c>
      <c r="AQ147" s="21" t="n">
        <v>5230</v>
      </c>
      <c r="AR147" s="21" t="n">
        <v>0</v>
      </c>
      <c r="AS147" s="22" t="n">
        <v>0</v>
      </c>
      <c r="AU147" s="22" t="n">
        <v>0</v>
      </c>
      <c r="AW147" s="22" t="n">
        <v>0</v>
      </c>
      <c r="AY147" s="21" t="n">
        <v>9.5</v>
      </c>
      <c r="AZ147" s="21" t="n">
        <v>10</v>
      </c>
      <c r="BA147" s="21" t="n">
        <v>19.5</v>
      </c>
      <c r="BB147" s="1" t="s">
        <v>1941</v>
      </c>
      <c r="BC147" s="22" t="n">
        <v>6</v>
      </c>
      <c r="BE147" s="22"/>
      <c r="BG147" s="22"/>
      <c r="BH147" s="21" t="n">
        <v>1474.07</v>
      </c>
      <c r="BI147" s="21" t="n">
        <v>784</v>
      </c>
      <c r="BJ147" s="23" t="s">
        <v>268</v>
      </c>
    </row>
    <row r="148" s="1" customFormat="true" ht="14.25" hidden="true" customHeight="false" outlineLevel="0" collapsed="false">
      <c r="A148" s="1" t="s">
        <v>1942</v>
      </c>
      <c r="B148" s="1" t="s">
        <v>1943</v>
      </c>
      <c r="C148" s="1" t="s">
        <v>59</v>
      </c>
      <c r="D148" s="1" t="s">
        <v>60</v>
      </c>
      <c r="E148" s="1" t="s">
        <v>638</v>
      </c>
      <c r="F148" s="1" t="s">
        <v>1944</v>
      </c>
      <c r="G148" s="20" t="s">
        <v>1945</v>
      </c>
      <c r="H148" s="1" t="s">
        <v>1946</v>
      </c>
      <c r="I148" s="1" t="s">
        <v>1947</v>
      </c>
      <c r="K148" s="1" t="s">
        <v>1948</v>
      </c>
      <c r="L148" s="1" t="s">
        <v>1949</v>
      </c>
      <c r="M148" s="20" t="n">
        <v>2</v>
      </c>
      <c r="N148" s="1" t="s">
        <v>1950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3" t="n">
        <v>0</v>
      </c>
      <c r="AA148" s="1" t="n">
        <v>3</v>
      </c>
      <c r="AB148" s="1" t="n">
        <v>69</v>
      </c>
      <c r="AC148" s="1" t="n">
        <v>3</v>
      </c>
      <c r="AD148" s="1" t="n">
        <v>78</v>
      </c>
      <c r="AE148" s="1" t="n">
        <v>3</v>
      </c>
      <c r="AF148" s="1" t="n">
        <v>80</v>
      </c>
      <c r="AG148" s="1" t="n">
        <v>2</v>
      </c>
      <c r="AH148" s="1" t="n">
        <v>48</v>
      </c>
      <c r="AI148" s="1" t="n">
        <v>0</v>
      </c>
      <c r="AJ148" s="1" t="n">
        <v>0</v>
      </c>
      <c r="AK148" s="1" t="n">
        <v>11</v>
      </c>
      <c r="AL148" s="4" t="n">
        <v>275</v>
      </c>
      <c r="AM148" s="21" t="n">
        <v>740413</v>
      </c>
      <c r="AN148" s="21" t="n">
        <v>234016</v>
      </c>
      <c r="AO148" s="21" t="n">
        <v>4839</v>
      </c>
      <c r="AP148" s="21" t="n">
        <v>0</v>
      </c>
      <c r="AQ148" s="21" t="n">
        <v>8028</v>
      </c>
      <c r="AR148" s="21" t="n">
        <v>1290</v>
      </c>
      <c r="AS148" s="22" t="n">
        <v>0</v>
      </c>
      <c r="AU148" s="22" t="n">
        <v>0</v>
      </c>
      <c r="AW148" s="22" t="n">
        <v>1</v>
      </c>
      <c r="AX148" s="1" t="s">
        <v>292</v>
      </c>
      <c r="AY148" s="21" t="n">
        <v>24</v>
      </c>
      <c r="AZ148" s="21" t="n">
        <v>22.5</v>
      </c>
      <c r="BA148" s="21" t="n">
        <v>46.5</v>
      </c>
      <c r="BB148" s="1" t="s">
        <v>1951</v>
      </c>
      <c r="BC148" s="22" t="n">
        <v>24</v>
      </c>
      <c r="BE148" s="22"/>
      <c r="BG148" s="22"/>
      <c r="BH148" s="21" t="n">
        <v>1265.87</v>
      </c>
      <c r="BI148" s="21" t="n">
        <v>804.65</v>
      </c>
      <c r="BJ148" s="23" t="s">
        <v>268</v>
      </c>
    </row>
    <row r="149" s="1" customFormat="true" ht="14.25" hidden="true" customHeight="false" outlineLevel="0" collapsed="false">
      <c r="A149" s="1" t="s">
        <v>1952</v>
      </c>
      <c r="B149" s="1" t="s">
        <v>1953</v>
      </c>
      <c r="C149" s="1" t="s">
        <v>59</v>
      </c>
      <c r="D149" s="1" t="s">
        <v>60</v>
      </c>
      <c r="E149" s="1" t="s">
        <v>1348</v>
      </c>
      <c r="F149" s="1" t="s">
        <v>1954</v>
      </c>
      <c r="G149" s="20" t="s">
        <v>1955</v>
      </c>
      <c r="H149" s="1" t="s">
        <v>1956</v>
      </c>
      <c r="I149" s="1" t="s">
        <v>1957</v>
      </c>
      <c r="J149" s="1" t="s">
        <v>1958</v>
      </c>
      <c r="K149" s="1" t="s">
        <v>1959</v>
      </c>
      <c r="L149" s="1" t="s">
        <v>1960</v>
      </c>
      <c r="M149" s="20" t="n">
        <v>3</v>
      </c>
      <c r="N149" s="1" t="s">
        <v>1956</v>
      </c>
      <c r="O149" s="1" t="s">
        <v>1961</v>
      </c>
      <c r="P149" s="1" t="s">
        <v>1962</v>
      </c>
      <c r="U149" s="1" t="n">
        <v>1</v>
      </c>
      <c r="V149" s="1" t="n">
        <v>0</v>
      </c>
      <c r="W149" s="1" t="n">
        <v>0</v>
      </c>
      <c r="X149" s="1" t="n">
        <v>1</v>
      </c>
      <c r="Y149" s="1" t="n">
        <v>2</v>
      </c>
      <c r="Z149" s="3" t="n">
        <v>34</v>
      </c>
      <c r="AA149" s="1" t="n">
        <v>1</v>
      </c>
      <c r="AB149" s="1" t="n">
        <v>34</v>
      </c>
      <c r="AC149" s="1" t="n">
        <v>2</v>
      </c>
      <c r="AD149" s="1" t="n">
        <v>65</v>
      </c>
      <c r="AE149" s="1" t="n">
        <v>2</v>
      </c>
      <c r="AF149" s="1" t="n">
        <v>58</v>
      </c>
      <c r="AG149" s="1" t="n">
        <v>1</v>
      </c>
      <c r="AH149" s="1" t="n">
        <v>29</v>
      </c>
      <c r="AI149" s="1" t="n">
        <v>0</v>
      </c>
      <c r="AJ149" s="1" t="n">
        <v>0</v>
      </c>
      <c r="AK149" s="1" t="n">
        <v>8</v>
      </c>
      <c r="AL149" s="4" t="n">
        <v>220</v>
      </c>
      <c r="AM149" s="21" t="n">
        <v>543527</v>
      </c>
      <c r="AN149" s="21" t="n">
        <v>184096</v>
      </c>
      <c r="AO149" s="21" t="n">
        <v>0</v>
      </c>
      <c r="AP149" s="21" t="n">
        <v>0</v>
      </c>
      <c r="AQ149" s="21" t="n">
        <v>6568</v>
      </c>
      <c r="AR149" s="21" t="n">
        <v>130</v>
      </c>
      <c r="AS149" s="22" t="n">
        <v>0</v>
      </c>
      <c r="AU149" s="22" t="n">
        <v>0</v>
      </c>
      <c r="AW149" s="22" t="n">
        <v>0</v>
      </c>
      <c r="AY149" s="21" t="n">
        <v>14.5</v>
      </c>
      <c r="AZ149" s="5" t="n">
        <v>18.56</v>
      </c>
      <c r="BA149" s="5" t="n">
        <v>33.06</v>
      </c>
      <c r="BB149" s="1" t="s">
        <v>1963</v>
      </c>
      <c r="BC149" s="22" t="n">
        <v>1</v>
      </c>
      <c r="BE149" s="22"/>
      <c r="BG149" s="22"/>
      <c r="BH149" s="21" t="n">
        <v>1168</v>
      </c>
      <c r="BI149" s="21" t="n">
        <v>770</v>
      </c>
      <c r="BJ149" s="23" t="s">
        <v>1964</v>
      </c>
      <c r="BK149" s="5"/>
    </row>
    <row r="150" s="1" customFormat="true" ht="14.25" hidden="true" customHeight="false" outlineLevel="0" collapsed="false">
      <c r="A150" s="1" t="s">
        <v>1965</v>
      </c>
      <c r="B150" s="1" t="s">
        <v>1966</v>
      </c>
      <c r="C150" s="1" t="s">
        <v>59</v>
      </c>
      <c r="D150" s="1" t="s">
        <v>60</v>
      </c>
      <c r="E150" s="1" t="s">
        <v>355</v>
      </c>
      <c r="F150" s="1" t="s">
        <v>1967</v>
      </c>
      <c r="G150" s="20" t="s">
        <v>1968</v>
      </c>
      <c r="H150" s="1" t="s">
        <v>1969</v>
      </c>
      <c r="I150" s="1" t="s">
        <v>1970</v>
      </c>
      <c r="J150" s="1" t="s">
        <v>1971</v>
      </c>
      <c r="K150" s="1" t="s">
        <v>1972</v>
      </c>
      <c r="L150" s="1" t="s">
        <v>1973</v>
      </c>
      <c r="M150" s="20" t="n">
        <v>1</v>
      </c>
      <c r="N150" s="1" t="s">
        <v>1974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2</v>
      </c>
      <c r="Z150" s="3" t="n">
        <v>47</v>
      </c>
      <c r="AA150" s="1" t="n">
        <v>2</v>
      </c>
      <c r="AB150" s="1" t="n">
        <v>52</v>
      </c>
      <c r="AC150" s="1" t="n">
        <v>1</v>
      </c>
      <c r="AD150" s="1" t="n">
        <v>26</v>
      </c>
      <c r="AE150" s="1" t="n">
        <v>2</v>
      </c>
      <c r="AF150" s="1" t="n">
        <v>52</v>
      </c>
      <c r="AG150" s="1" t="n">
        <v>2</v>
      </c>
      <c r="AH150" s="1" t="n">
        <v>54</v>
      </c>
      <c r="AI150" s="1" t="n">
        <v>1</v>
      </c>
      <c r="AJ150" s="1" t="n">
        <v>26</v>
      </c>
      <c r="AK150" s="1" t="n">
        <v>10</v>
      </c>
      <c r="AL150" s="4" t="n">
        <v>257</v>
      </c>
      <c r="AM150" s="21" t="n">
        <v>644578</v>
      </c>
      <c r="AN150" s="21" t="n">
        <v>132742</v>
      </c>
      <c r="AO150" s="21" t="n">
        <v>0</v>
      </c>
      <c r="AP150" s="21" t="n">
        <v>0</v>
      </c>
      <c r="AQ150" s="21" t="n">
        <v>6829</v>
      </c>
      <c r="AR150" s="21" t="n">
        <v>0</v>
      </c>
      <c r="AS150" s="22" t="n">
        <v>0</v>
      </c>
      <c r="AU150" s="22" t="n">
        <v>0</v>
      </c>
      <c r="AW150" s="22" t="n">
        <v>0</v>
      </c>
      <c r="AY150" s="21" t="n">
        <v>20.5</v>
      </c>
      <c r="AZ150" s="21" t="n">
        <v>22</v>
      </c>
      <c r="BA150" s="21" t="n">
        <v>42.5</v>
      </c>
      <c r="BB150" s="1" t="s">
        <v>1975</v>
      </c>
      <c r="BC150" s="22" t="n">
        <v>1</v>
      </c>
      <c r="BD150" s="1" t="s">
        <v>1976</v>
      </c>
      <c r="BE150" s="22" t="n">
        <v>1</v>
      </c>
      <c r="BF150" s="1" t="s">
        <v>1977</v>
      </c>
      <c r="BG150" s="22" t="n">
        <v>1</v>
      </c>
      <c r="BH150" s="21" t="n">
        <v>1139.42</v>
      </c>
      <c r="BI150" s="21" t="n">
        <v>810.18</v>
      </c>
      <c r="BJ150" s="23" t="s">
        <v>486</v>
      </c>
    </row>
    <row r="151" s="1" customFormat="true" ht="14.25" hidden="true" customHeight="false" outlineLevel="0" collapsed="false">
      <c r="A151" s="1" t="s">
        <v>1978</v>
      </c>
      <c r="B151" s="1" t="s">
        <v>1979</v>
      </c>
      <c r="C151" s="1" t="s">
        <v>59</v>
      </c>
      <c r="D151" s="1" t="s">
        <v>60</v>
      </c>
      <c r="E151" s="1" t="s">
        <v>723</v>
      </c>
      <c r="F151" s="1" t="s">
        <v>1980</v>
      </c>
      <c r="G151" s="20" t="s">
        <v>1981</v>
      </c>
      <c r="H151" s="1" t="s">
        <v>1982</v>
      </c>
      <c r="I151" s="1" t="s">
        <v>1983</v>
      </c>
      <c r="J151" s="1" t="s">
        <v>1984</v>
      </c>
      <c r="K151" s="1" t="s">
        <v>1985</v>
      </c>
      <c r="L151" s="1" t="s">
        <v>1986</v>
      </c>
      <c r="M151" s="20" t="n">
        <v>3</v>
      </c>
      <c r="N151" s="1" t="s">
        <v>1987</v>
      </c>
      <c r="O151" s="1" t="s">
        <v>1988</v>
      </c>
      <c r="U151" s="1" t="n">
        <v>1</v>
      </c>
      <c r="V151" s="1" t="n">
        <v>0</v>
      </c>
      <c r="W151" s="1" t="n">
        <v>1</v>
      </c>
      <c r="X151" s="1" t="n">
        <v>0</v>
      </c>
      <c r="Y151" s="1" t="n">
        <v>0</v>
      </c>
      <c r="Z151" s="3" t="n">
        <v>0</v>
      </c>
      <c r="AA151" s="1" t="n">
        <v>2</v>
      </c>
      <c r="AB151" s="1" t="n">
        <v>50</v>
      </c>
      <c r="AC151" s="1" t="n">
        <v>1</v>
      </c>
      <c r="AD151" s="1" t="n">
        <v>30</v>
      </c>
      <c r="AE151" s="1" t="n">
        <v>1</v>
      </c>
      <c r="AF151" s="1" t="n">
        <v>31</v>
      </c>
      <c r="AG151" s="1" t="n">
        <v>2</v>
      </c>
      <c r="AH151" s="1" t="n">
        <v>54</v>
      </c>
      <c r="AI151" s="1" t="n">
        <v>0</v>
      </c>
      <c r="AJ151" s="1" t="n">
        <v>0</v>
      </c>
      <c r="AK151" s="1" t="n">
        <v>6</v>
      </c>
      <c r="AL151" s="4" t="n">
        <v>165</v>
      </c>
      <c r="AM151" s="21" t="n">
        <v>641009</v>
      </c>
      <c r="AN151" s="21" t="n">
        <v>508093</v>
      </c>
      <c r="AO151" s="21" t="n">
        <v>2871</v>
      </c>
      <c r="AP151" s="21" t="n">
        <v>0</v>
      </c>
      <c r="AQ151" s="21" t="n">
        <v>8206</v>
      </c>
      <c r="AR151" s="21" t="n">
        <v>0</v>
      </c>
      <c r="AS151" s="22" t="n">
        <v>1</v>
      </c>
      <c r="AT151" s="1" t="s">
        <v>1989</v>
      </c>
      <c r="AU151" s="22" t="n">
        <v>0</v>
      </c>
      <c r="AW151" s="22" t="n">
        <v>0</v>
      </c>
      <c r="AY151" s="21" t="n">
        <v>14.5</v>
      </c>
      <c r="AZ151" s="21" t="n">
        <v>11.5</v>
      </c>
      <c r="BA151" s="21" t="n">
        <v>26</v>
      </c>
      <c r="BB151" s="1" t="s">
        <v>1990</v>
      </c>
      <c r="BC151" s="22" t="n">
        <v>28</v>
      </c>
      <c r="BD151" s="1" t="s">
        <v>1991</v>
      </c>
      <c r="BE151" s="22" t="n">
        <v>10</v>
      </c>
      <c r="BF151" s="1" t="s">
        <v>1992</v>
      </c>
      <c r="BG151" s="22" t="n">
        <v>2</v>
      </c>
      <c r="BH151" s="21" t="n">
        <v>1275.37</v>
      </c>
      <c r="BI151" s="21" t="n">
        <v>711.64</v>
      </c>
      <c r="BJ151" s="23" t="s">
        <v>186</v>
      </c>
    </row>
    <row r="152" s="1" customFormat="true" ht="14.25" hidden="true" customHeight="false" outlineLevel="0" collapsed="false">
      <c r="A152" s="1" t="s">
        <v>1993</v>
      </c>
      <c r="B152" s="1" t="s">
        <v>1994</v>
      </c>
      <c r="C152" s="1" t="s">
        <v>59</v>
      </c>
      <c r="D152" s="1" t="s">
        <v>60</v>
      </c>
      <c r="E152" s="1" t="s">
        <v>848</v>
      </c>
      <c r="F152" s="1" t="s">
        <v>1995</v>
      </c>
      <c r="G152" s="20" t="s">
        <v>1996</v>
      </c>
      <c r="H152" s="1" t="s">
        <v>1997</v>
      </c>
      <c r="I152" s="1" t="s">
        <v>1998</v>
      </c>
      <c r="J152" s="1" t="s">
        <v>1999</v>
      </c>
      <c r="K152" s="1" t="s">
        <v>2000</v>
      </c>
      <c r="L152" s="1" t="s">
        <v>2001</v>
      </c>
      <c r="M152" s="20" t="n">
        <v>2</v>
      </c>
      <c r="N152" s="1" t="s">
        <v>2002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3" t="n">
        <v>0</v>
      </c>
      <c r="AA152" s="1" t="n">
        <v>1</v>
      </c>
      <c r="AB152" s="1" t="n">
        <v>25</v>
      </c>
      <c r="AC152" s="1" t="n">
        <v>1</v>
      </c>
      <c r="AD152" s="1" t="n">
        <v>30</v>
      </c>
      <c r="AE152" s="1" t="n">
        <v>1</v>
      </c>
      <c r="AF152" s="1" t="n">
        <v>35</v>
      </c>
      <c r="AG152" s="1" t="n">
        <v>1</v>
      </c>
      <c r="AH152" s="1" t="n">
        <v>33</v>
      </c>
      <c r="AI152" s="1" t="n">
        <v>1</v>
      </c>
      <c r="AJ152" s="1" t="n">
        <v>29</v>
      </c>
      <c r="AK152" s="1" t="n">
        <v>5</v>
      </c>
      <c r="AL152" s="4" t="n">
        <v>152</v>
      </c>
      <c r="AM152" s="21" t="n">
        <v>437203</v>
      </c>
      <c r="AN152" s="21" t="n">
        <v>115087</v>
      </c>
      <c r="AO152" s="21" t="n">
        <v>0</v>
      </c>
      <c r="AP152" s="21" t="n">
        <v>0</v>
      </c>
      <c r="AQ152" s="21" t="n">
        <v>13099.13</v>
      </c>
      <c r="AR152" s="21" t="n">
        <v>0</v>
      </c>
      <c r="AS152" s="22" t="n">
        <v>1</v>
      </c>
      <c r="AT152" s="1" t="s">
        <v>2003</v>
      </c>
      <c r="AU152" s="22" t="n">
        <v>0</v>
      </c>
      <c r="AW152" s="22" t="n">
        <v>0</v>
      </c>
      <c r="AY152" s="21" t="n">
        <v>11.5</v>
      </c>
      <c r="AZ152" s="21" t="n">
        <v>11.75</v>
      </c>
      <c r="BA152" s="21" t="n">
        <v>23.25</v>
      </c>
      <c r="BB152" s="1" t="s">
        <v>2004</v>
      </c>
      <c r="BC152" s="22" t="n">
        <v>10</v>
      </c>
      <c r="BD152" s="1" t="s">
        <v>2005</v>
      </c>
      <c r="BE152" s="22" t="n">
        <v>10</v>
      </c>
      <c r="BF152" s="1" t="s">
        <v>2006</v>
      </c>
      <c r="BG152" s="22" t="n">
        <v>1</v>
      </c>
      <c r="BH152" s="21" t="n">
        <v>1520.27</v>
      </c>
      <c r="BI152" s="21" t="n">
        <v>811.81</v>
      </c>
      <c r="BJ152" s="23" t="s">
        <v>409</v>
      </c>
    </row>
    <row r="153" s="1" customFormat="true" ht="14.25" hidden="true" customHeight="false" outlineLevel="0" collapsed="false">
      <c r="A153" s="1" t="s">
        <v>2007</v>
      </c>
      <c r="B153" s="1" t="s">
        <v>2008</v>
      </c>
      <c r="C153" s="1" t="s">
        <v>59</v>
      </c>
      <c r="D153" s="1" t="s">
        <v>60</v>
      </c>
      <c r="E153" s="1" t="s">
        <v>848</v>
      </c>
      <c r="F153" s="1" t="s">
        <v>2009</v>
      </c>
      <c r="G153" s="20" t="s">
        <v>2010</v>
      </c>
      <c r="H153" s="1" t="s">
        <v>2011</v>
      </c>
      <c r="I153" s="1" t="s">
        <v>2012</v>
      </c>
      <c r="J153" s="1" t="s">
        <v>2013</v>
      </c>
      <c r="K153" s="1" t="s">
        <v>2014</v>
      </c>
      <c r="L153" s="1" t="s">
        <v>2015</v>
      </c>
      <c r="M153" s="20" t="n">
        <v>2</v>
      </c>
      <c r="N153" s="1" t="s">
        <v>2016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3" t="n">
        <v>0</v>
      </c>
      <c r="AA153" s="1" t="n">
        <v>3</v>
      </c>
      <c r="AB153" s="1" t="n">
        <v>80</v>
      </c>
      <c r="AC153" s="1" t="n">
        <v>2</v>
      </c>
      <c r="AD153" s="1" t="n">
        <v>61</v>
      </c>
      <c r="AE153" s="1" t="n">
        <v>2</v>
      </c>
      <c r="AF153" s="1" t="n">
        <v>68</v>
      </c>
      <c r="AG153" s="1" t="n">
        <v>3</v>
      </c>
      <c r="AH153" s="1" t="n">
        <v>99</v>
      </c>
      <c r="AI153" s="1" t="n">
        <v>0</v>
      </c>
      <c r="AJ153" s="1" t="n">
        <v>0</v>
      </c>
      <c r="AK153" s="1" t="n">
        <v>10</v>
      </c>
      <c r="AL153" s="4" t="n">
        <v>308</v>
      </c>
      <c r="AM153" s="21" t="n">
        <v>988406</v>
      </c>
      <c r="AN153" s="21" t="n">
        <v>822633</v>
      </c>
      <c r="AO153" s="21" t="n">
        <v>0</v>
      </c>
      <c r="AP153" s="21" t="n">
        <v>0</v>
      </c>
      <c r="AQ153" s="21" t="n">
        <v>20894</v>
      </c>
      <c r="AR153" s="21" t="n">
        <v>0</v>
      </c>
      <c r="AS153" s="22" t="n">
        <v>0</v>
      </c>
      <c r="AU153" s="22" t="n">
        <v>2</v>
      </c>
      <c r="AV153" s="1" t="s">
        <v>2017</v>
      </c>
      <c r="AW153" s="22" t="n">
        <v>0</v>
      </c>
      <c r="AY153" s="21" t="n">
        <v>23</v>
      </c>
      <c r="AZ153" s="21" t="n">
        <v>21</v>
      </c>
      <c r="BA153" s="21" t="n">
        <v>44</v>
      </c>
      <c r="BB153" s="1" t="s">
        <v>2018</v>
      </c>
      <c r="BC153" s="22" t="n">
        <v>22</v>
      </c>
      <c r="BE153" s="22"/>
      <c r="BG153" s="22"/>
      <c r="BH153" s="21" t="n">
        <v>1295</v>
      </c>
      <c r="BI153" s="21" t="n">
        <v>829</v>
      </c>
      <c r="BJ153" s="23" t="s">
        <v>409</v>
      </c>
    </row>
    <row r="154" s="1" customFormat="true" ht="14.25" hidden="true" customHeight="false" outlineLevel="0" collapsed="false">
      <c r="A154" s="1" t="s">
        <v>2019</v>
      </c>
      <c r="B154" s="1" t="s">
        <v>2020</v>
      </c>
      <c r="C154" s="1" t="s">
        <v>59</v>
      </c>
      <c r="D154" s="1" t="s">
        <v>1782</v>
      </c>
      <c r="E154" s="1" t="s">
        <v>1375</v>
      </c>
      <c r="F154" s="1" t="s">
        <v>2021</v>
      </c>
      <c r="G154" s="20" t="s">
        <v>2022</v>
      </c>
      <c r="H154" s="1" t="s">
        <v>2023</v>
      </c>
      <c r="I154" s="1" t="s">
        <v>2024</v>
      </c>
      <c r="K154" s="1" t="s">
        <v>2025</v>
      </c>
      <c r="L154" s="1" t="s">
        <v>2026</v>
      </c>
      <c r="M154" s="20" t="n">
        <v>1</v>
      </c>
      <c r="N154" s="1" t="s">
        <v>2027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2</v>
      </c>
      <c r="Z154" s="3" t="n">
        <v>40</v>
      </c>
      <c r="AA154" s="1" t="n">
        <v>1</v>
      </c>
      <c r="AB154" s="1" t="n">
        <v>30</v>
      </c>
      <c r="AC154" s="1" t="n">
        <v>1</v>
      </c>
      <c r="AD154" s="1" t="n">
        <v>30</v>
      </c>
      <c r="AE154" s="1" t="n">
        <v>1</v>
      </c>
      <c r="AF154" s="1" t="n">
        <v>27</v>
      </c>
      <c r="AG154" s="1" t="n">
        <v>2</v>
      </c>
      <c r="AH154" s="1" t="n">
        <v>40</v>
      </c>
      <c r="AI154" s="1" t="n">
        <v>0</v>
      </c>
      <c r="AJ154" s="1" t="n">
        <v>0</v>
      </c>
      <c r="AK154" s="1" t="n">
        <v>7</v>
      </c>
      <c r="AL154" s="4" t="n">
        <v>167</v>
      </c>
      <c r="AM154" s="21" t="n">
        <v>462379</v>
      </c>
      <c r="AN154" s="21" t="n">
        <v>173896</v>
      </c>
      <c r="AO154" s="21" t="n">
        <v>0</v>
      </c>
      <c r="AP154" s="21" t="n">
        <v>0</v>
      </c>
      <c r="AQ154" s="21" t="n">
        <v>3180</v>
      </c>
      <c r="AR154" s="21" t="n">
        <v>0</v>
      </c>
      <c r="AS154" s="22" t="n">
        <v>0</v>
      </c>
      <c r="AU154" s="22" t="n">
        <v>1</v>
      </c>
      <c r="AV154" s="1" t="s">
        <v>2028</v>
      </c>
      <c r="AW154" s="22" t="n">
        <v>0</v>
      </c>
      <c r="AY154" s="21" t="n">
        <v>11</v>
      </c>
      <c r="AZ154" s="21" t="n">
        <v>14</v>
      </c>
      <c r="BA154" s="21" t="n">
        <v>25</v>
      </c>
      <c r="BB154" s="1" t="s">
        <v>2029</v>
      </c>
      <c r="BC154" s="22" t="n">
        <v>1</v>
      </c>
      <c r="BD154" s="1" t="s">
        <v>1791</v>
      </c>
      <c r="BE154" s="22" t="n">
        <v>12</v>
      </c>
      <c r="BF154" s="1" t="s">
        <v>2030</v>
      </c>
      <c r="BG154" s="22" t="n">
        <v>1</v>
      </c>
      <c r="BH154" s="21" t="n">
        <v>1491.33</v>
      </c>
      <c r="BI154" s="21" t="n">
        <v>844.78</v>
      </c>
      <c r="BJ154" s="23" t="s">
        <v>101</v>
      </c>
    </row>
    <row r="155" s="1" customFormat="true" ht="14.25" hidden="true" customHeight="false" outlineLevel="0" collapsed="false">
      <c r="A155" s="1" t="s">
        <v>2031</v>
      </c>
      <c r="B155" s="1" t="s">
        <v>2032</v>
      </c>
      <c r="C155" s="1" t="s">
        <v>59</v>
      </c>
      <c r="D155" s="1" t="s">
        <v>60</v>
      </c>
      <c r="E155" s="1" t="s">
        <v>723</v>
      </c>
      <c r="F155" s="1" t="s">
        <v>2033</v>
      </c>
      <c r="G155" s="20" t="s">
        <v>2034</v>
      </c>
      <c r="H155" s="1" t="s">
        <v>2035</v>
      </c>
      <c r="I155" s="1" t="s">
        <v>2036</v>
      </c>
      <c r="K155" s="1" t="s">
        <v>2037</v>
      </c>
      <c r="M155" s="20" t="n">
        <v>1</v>
      </c>
      <c r="N155" s="1" t="s">
        <v>2038</v>
      </c>
      <c r="U155" s="1" t="n">
        <v>1</v>
      </c>
      <c r="V155" s="1" t="n">
        <v>0</v>
      </c>
      <c r="W155" s="1" t="n">
        <v>0</v>
      </c>
      <c r="X155" s="1" t="n">
        <v>0</v>
      </c>
      <c r="Y155" s="1" t="n">
        <v>2</v>
      </c>
      <c r="Z155" s="3" t="n">
        <v>37</v>
      </c>
      <c r="AA155" s="1" t="n">
        <v>1</v>
      </c>
      <c r="AB155" s="1" t="n">
        <v>24</v>
      </c>
      <c r="AC155" s="1" t="n">
        <v>1</v>
      </c>
      <c r="AD155" s="1" t="n">
        <v>34</v>
      </c>
      <c r="AE155" s="1" t="n">
        <v>1</v>
      </c>
      <c r="AF155" s="1" t="n">
        <v>33</v>
      </c>
      <c r="AG155" s="1" t="n">
        <v>1</v>
      </c>
      <c r="AH155" s="1" t="n">
        <v>26</v>
      </c>
      <c r="AI155" s="1" t="n">
        <v>0</v>
      </c>
      <c r="AJ155" s="1" t="n">
        <v>0</v>
      </c>
      <c r="AK155" s="1" t="n">
        <v>6</v>
      </c>
      <c r="AL155" s="4" t="n">
        <v>154</v>
      </c>
      <c r="AM155" s="21" t="n">
        <v>359072</v>
      </c>
      <c r="AN155" s="21" t="n">
        <v>111719</v>
      </c>
      <c r="AO155" s="21" t="n">
        <v>0</v>
      </c>
      <c r="AP155" s="21" t="n">
        <v>0</v>
      </c>
      <c r="AQ155" s="21" t="n">
        <v>7035</v>
      </c>
      <c r="AR155" s="21" t="n">
        <v>2739</v>
      </c>
      <c r="AS155" s="22" t="n">
        <v>0</v>
      </c>
      <c r="AU155" s="22" t="n">
        <v>1</v>
      </c>
      <c r="AV155" s="1" t="s">
        <v>2039</v>
      </c>
      <c r="AW155" s="22" t="n">
        <v>0</v>
      </c>
      <c r="AY155" s="21" t="n">
        <v>10</v>
      </c>
      <c r="AZ155" s="21" t="n">
        <v>12</v>
      </c>
      <c r="BA155" s="21" t="n">
        <v>22</v>
      </c>
      <c r="BB155" s="1" t="s">
        <v>1265</v>
      </c>
      <c r="BC155" s="22" t="n">
        <v>20</v>
      </c>
      <c r="BD155" s="1" t="s">
        <v>2040</v>
      </c>
      <c r="BE155" s="22" t="n">
        <v>2</v>
      </c>
      <c r="BG155" s="22"/>
      <c r="BH155" s="21" t="n">
        <v>1351.81</v>
      </c>
      <c r="BI155" s="21" t="n">
        <v>843.23</v>
      </c>
      <c r="BJ155" s="23" t="s">
        <v>268</v>
      </c>
    </row>
    <row r="156" s="1" customFormat="true" ht="14.25" hidden="true" customHeight="false" outlineLevel="0" collapsed="false">
      <c r="A156" s="1" t="s">
        <v>2041</v>
      </c>
      <c r="B156" s="1" t="s">
        <v>2042</v>
      </c>
      <c r="C156" s="1" t="s">
        <v>59</v>
      </c>
      <c r="D156" s="1" t="s">
        <v>60</v>
      </c>
      <c r="E156" s="1" t="s">
        <v>298</v>
      </c>
      <c r="F156" s="1" t="s">
        <v>2043</v>
      </c>
      <c r="G156" s="20" t="s">
        <v>2044</v>
      </c>
      <c r="H156" s="1" t="s">
        <v>2045</v>
      </c>
      <c r="I156" s="1" t="s">
        <v>2046</v>
      </c>
      <c r="J156" s="1" t="s">
        <v>2047</v>
      </c>
      <c r="K156" s="1" t="s">
        <v>2048</v>
      </c>
      <c r="L156" s="1" t="s">
        <v>2049</v>
      </c>
      <c r="M156" s="20" t="n">
        <v>2</v>
      </c>
      <c r="N156" s="1" t="s">
        <v>2050</v>
      </c>
      <c r="O156" s="1" t="s">
        <v>2051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3" t="n">
        <v>0</v>
      </c>
      <c r="AA156" s="1" t="n">
        <v>1</v>
      </c>
      <c r="AB156" s="1" t="n">
        <v>22</v>
      </c>
      <c r="AC156" s="1" t="n">
        <v>1</v>
      </c>
      <c r="AD156" s="1" t="n">
        <v>28</v>
      </c>
      <c r="AE156" s="1" t="n">
        <v>1</v>
      </c>
      <c r="AF156" s="1" t="n">
        <v>33</v>
      </c>
      <c r="AG156" s="1" t="n">
        <v>1</v>
      </c>
      <c r="AH156" s="1" t="n">
        <v>27</v>
      </c>
      <c r="AI156" s="1" t="n">
        <v>0</v>
      </c>
      <c r="AJ156" s="1" t="n">
        <v>0</v>
      </c>
      <c r="AK156" s="1" t="n">
        <v>4</v>
      </c>
      <c r="AL156" s="4" t="n">
        <v>110</v>
      </c>
      <c r="AM156" s="21" t="n">
        <v>341840</v>
      </c>
      <c r="AN156" s="21" t="n">
        <v>117786</v>
      </c>
      <c r="AO156" s="21" t="n">
        <v>0</v>
      </c>
      <c r="AP156" s="21" t="n">
        <v>594</v>
      </c>
      <c r="AQ156" s="21" t="n">
        <v>8574.32</v>
      </c>
      <c r="AR156" s="21" t="n">
        <v>0</v>
      </c>
      <c r="AS156" s="22" t="n">
        <v>1</v>
      </c>
      <c r="AU156" s="22" t="n">
        <v>0</v>
      </c>
      <c r="AW156" s="22" t="n">
        <v>0</v>
      </c>
      <c r="AY156" s="21" t="n">
        <v>9.5</v>
      </c>
      <c r="AZ156" s="21" t="n">
        <v>8.5</v>
      </c>
      <c r="BA156" s="21" t="n">
        <v>18</v>
      </c>
      <c r="BB156" s="1" t="s">
        <v>2052</v>
      </c>
      <c r="BC156" s="22" t="n">
        <v>14</v>
      </c>
      <c r="BD156" s="1" t="s">
        <v>2053</v>
      </c>
      <c r="BE156" s="22" t="n">
        <v>5</v>
      </c>
      <c r="BG156" s="22"/>
      <c r="BH156" s="21" t="n">
        <v>1380</v>
      </c>
      <c r="BI156" s="21" t="n">
        <v>848.4</v>
      </c>
      <c r="BJ156" s="23" t="s">
        <v>101</v>
      </c>
    </row>
    <row r="157" s="1" customFormat="true" ht="14.25" hidden="true" customHeight="false" outlineLevel="0" collapsed="false">
      <c r="A157" s="1" t="s">
        <v>2054</v>
      </c>
      <c r="B157" s="1" t="s">
        <v>2055</v>
      </c>
      <c r="C157" s="1" t="s">
        <v>59</v>
      </c>
      <c r="D157" s="1" t="s">
        <v>60</v>
      </c>
      <c r="E157" s="1" t="s">
        <v>105</v>
      </c>
      <c r="F157" s="1" t="s">
        <v>2056</v>
      </c>
      <c r="G157" s="20" t="s">
        <v>2057</v>
      </c>
      <c r="H157" s="1" t="s">
        <v>2058</v>
      </c>
      <c r="I157" s="1" t="s">
        <v>2059</v>
      </c>
      <c r="K157" s="1" t="s">
        <v>2060</v>
      </c>
      <c r="L157" s="1" t="s">
        <v>2061</v>
      </c>
      <c r="M157" s="20" t="n">
        <v>2</v>
      </c>
      <c r="N157" s="1" t="s">
        <v>2062</v>
      </c>
      <c r="O157" s="1" t="s">
        <v>2063</v>
      </c>
      <c r="U157" s="1" t="n">
        <v>0</v>
      </c>
      <c r="V157" s="1" t="n">
        <v>1</v>
      </c>
      <c r="W157" s="1" t="n">
        <v>2</v>
      </c>
      <c r="X157" s="1" t="n">
        <v>0</v>
      </c>
      <c r="Y157" s="1" t="n">
        <v>2</v>
      </c>
      <c r="Z157" s="3" t="n">
        <v>52</v>
      </c>
      <c r="AA157" s="1" t="n">
        <v>3</v>
      </c>
      <c r="AB157" s="1" t="n">
        <v>79</v>
      </c>
      <c r="AC157" s="1" t="n">
        <v>2</v>
      </c>
      <c r="AD157" s="1" t="n">
        <v>57</v>
      </c>
      <c r="AE157" s="1" t="n">
        <v>2</v>
      </c>
      <c r="AF157" s="1" t="n">
        <v>52</v>
      </c>
      <c r="AG157" s="1" t="n">
        <v>1</v>
      </c>
      <c r="AH157" s="1" t="n">
        <v>26</v>
      </c>
      <c r="AI157" s="1" t="n">
        <v>0</v>
      </c>
      <c r="AK157" s="1" t="n">
        <v>10</v>
      </c>
      <c r="AL157" s="4" t="n">
        <v>266</v>
      </c>
      <c r="AM157" s="21" t="n">
        <v>558638</v>
      </c>
      <c r="AN157" s="21" t="n">
        <v>136300</v>
      </c>
      <c r="AO157" s="21" t="n">
        <v>0</v>
      </c>
      <c r="AP157" s="21" t="n">
        <v>0</v>
      </c>
      <c r="AQ157" s="21" t="n">
        <v>0</v>
      </c>
      <c r="AR157" s="21" t="n">
        <v>10105</v>
      </c>
      <c r="AS157" s="22" t="n">
        <v>0</v>
      </c>
      <c r="AU157" s="22" t="n">
        <v>0</v>
      </c>
      <c r="AW157" s="22" t="n">
        <v>0</v>
      </c>
      <c r="AY157" s="21" t="n">
        <v>20.5</v>
      </c>
      <c r="AZ157" s="21" t="n">
        <v>23.25</v>
      </c>
      <c r="BA157" s="21" t="n">
        <v>43.75</v>
      </c>
      <c r="BB157" s="1" t="s">
        <v>2064</v>
      </c>
      <c r="BC157" s="22" t="n">
        <v>12</v>
      </c>
      <c r="BD157" s="1" t="s">
        <v>2065</v>
      </c>
      <c r="BE157" s="22" t="n">
        <v>1</v>
      </c>
      <c r="BF157" s="1" t="s">
        <v>2066</v>
      </c>
      <c r="BG157" s="22" t="n">
        <v>11</v>
      </c>
      <c r="BH157" s="21" t="n">
        <v>1162.81</v>
      </c>
      <c r="BI157" s="21" t="n">
        <v>812.57</v>
      </c>
      <c r="BJ157" s="23" t="s">
        <v>519</v>
      </c>
    </row>
    <row r="158" s="1" customFormat="true" ht="14.25" hidden="true" customHeight="false" outlineLevel="0" collapsed="false">
      <c r="A158" s="1" t="s">
        <v>2067</v>
      </c>
      <c r="B158" s="1" t="s">
        <v>2068</v>
      </c>
      <c r="C158" s="1" t="s">
        <v>59</v>
      </c>
      <c r="D158" s="1" t="s">
        <v>234</v>
      </c>
      <c r="E158" s="1" t="s">
        <v>176</v>
      </c>
      <c r="F158" s="1" t="s">
        <v>2069</v>
      </c>
      <c r="G158" s="20" t="s">
        <v>2070</v>
      </c>
      <c r="I158" s="1" t="s">
        <v>2071</v>
      </c>
      <c r="J158" s="1" t="s">
        <v>2072</v>
      </c>
      <c r="K158" s="1" t="s">
        <v>2073</v>
      </c>
      <c r="L158" s="1" t="s">
        <v>2074</v>
      </c>
      <c r="M158" s="20" t="n">
        <v>3</v>
      </c>
      <c r="N158" s="1" t="s">
        <v>2075</v>
      </c>
      <c r="O158" s="1" t="s">
        <v>2076</v>
      </c>
      <c r="U158" s="1" t="n">
        <v>1</v>
      </c>
      <c r="V158" s="1" t="n">
        <v>0</v>
      </c>
      <c r="W158" s="1" t="n">
        <v>2</v>
      </c>
      <c r="X158" s="1" t="n">
        <v>10</v>
      </c>
      <c r="Y158" s="1" t="n">
        <v>2</v>
      </c>
      <c r="Z158" s="3" t="n">
        <v>54</v>
      </c>
      <c r="AA158" s="1" t="n">
        <v>3</v>
      </c>
      <c r="AB158" s="1" t="n">
        <v>81</v>
      </c>
      <c r="AC158" s="1" t="n">
        <v>2</v>
      </c>
      <c r="AD158" s="1" t="n">
        <v>61</v>
      </c>
      <c r="AE158" s="1" t="n">
        <v>2</v>
      </c>
      <c r="AF158" s="1" t="n">
        <v>67</v>
      </c>
      <c r="AG158" s="1" t="n">
        <v>2</v>
      </c>
      <c r="AH158" s="1" t="n">
        <v>63</v>
      </c>
      <c r="AI158" s="1" t="n">
        <v>0</v>
      </c>
      <c r="AJ158" s="1" t="n">
        <v>0</v>
      </c>
      <c r="AK158" s="1" t="n">
        <v>11</v>
      </c>
      <c r="AL158" s="4" t="n">
        <v>326</v>
      </c>
      <c r="AM158" s="21" t="n">
        <v>886241</v>
      </c>
      <c r="AN158" s="21" t="n">
        <v>286161</v>
      </c>
      <c r="AO158" s="21" t="n">
        <v>0</v>
      </c>
      <c r="AP158" s="21" t="n">
        <v>11900</v>
      </c>
      <c r="AQ158" s="21" t="n">
        <v>22643</v>
      </c>
      <c r="AR158" s="21" t="n">
        <v>423</v>
      </c>
      <c r="AS158" s="22" t="n">
        <v>0</v>
      </c>
      <c r="AU158" s="22" t="n">
        <v>1</v>
      </c>
      <c r="AV158" s="1" t="s">
        <v>496</v>
      </c>
      <c r="AW158" s="22" t="n">
        <v>0</v>
      </c>
      <c r="AY158" s="21" t="n">
        <v>21</v>
      </c>
      <c r="AZ158" s="21" t="n">
        <v>30</v>
      </c>
      <c r="BA158" s="21" t="n">
        <v>51</v>
      </c>
      <c r="BB158" s="1" t="s">
        <v>364</v>
      </c>
      <c r="BC158" s="22" t="n">
        <v>15</v>
      </c>
      <c r="BD158" s="1" t="s">
        <v>2077</v>
      </c>
      <c r="BE158" s="22" t="n">
        <v>17</v>
      </c>
      <c r="BF158" s="1" t="s">
        <v>2078</v>
      </c>
      <c r="BG158" s="22" t="n">
        <v>13</v>
      </c>
      <c r="BH158" s="21" t="n">
        <v>1259.09</v>
      </c>
      <c r="BI158" s="21" t="n">
        <v>844.25</v>
      </c>
      <c r="BJ158" s="23" t="s">
        <v>486</v>
      </c>
    </row>
    <row r="159" s="1" customFormat="true" ht="28.35" hidden="true" customHeight="false" outlineLevel="0" collapsed="false">
      <c r="A159" s="1" t="s">
        <v>2079</v>
      </c>
      <c r="B159" s="1" t="s">
        <v>2080</v>
      </c>
      <c r="C159" s="1" t="s">
        <v>59</v>
      </c>
      <c r="D159" s="1" t="s">
        <v>60</v>
      </c>
      <c r="E159" s="1" t="s">
        <v>162</v>
      </c>
      <c r="F159" s="1" t="s">
        <v>2081</v>
      </c>
      <c r="G159" s="20" t="s">
        <v>2082</v>
      </c>
      <c r="H159" s="1" t="s">
        <v>2083</v>
      </c>
      <c r="I159" s="1" t="s">
        <v>2084</v>
      </c>
      <c r="J159" s="1" t="s">
        <v>2085</v>
      </c>
      <c r="K159" s="1" t="s">
        <v>2086</v>
      </c>
      <c r="L159" s="27" t="s">
        <v>2087</v>
      </c>
      <c r="M159" s="20" t="n">
        <v>3</v>
      </c>
      <c r="N159" s="1" t="s">
        <v>2088</v>
      </c>
      <c r="O159" s="1" t="s">
        <v>2081</v>
      </c>
      <c r="P159" s="1" t="s">
        <v>2089</v>
      </c>
      <c r="U159" s="1" t="n">
        <v>2</v>
      </c>
      <c r="V159" s="1" t="n">
        <v>0</v>
      </c>
      <c r="W159" s="1" t="n">
        <v>0</v>
      </c>
      <c r="X159" s="1" t="n">
        <v>0</v>
      </c>
      <c r="Y159" s="1" t="n">
        <v>0</v>
      </c>
      <c r="Z159" s="3" t="n">
        <v>0</v>
      </c>
      <c r="AA159" s="1" t="n">
        <v>2</v>
      </c>
      <c r="AB159" s="1" t="n">
        <v>54</v>
      </c>
      <c r="AC159" s="1" t="n">
        <v>2</v>
      </c>
      <c r="AD159" s="1" t="n">
        <v>61</v>
      </c>
      <c r="AE159" s="1" t="n">
        <v>1</v>
      </c>
      <c r="AF159" s="1" t="n">
        <v>33</v>
      </c>
      <c r="AG159" s="1" t="n">
        <v>2</v>
      </c>
      <c r="AH159" s="1" t="n">
        <v>58</v>
      </c>
      <c r="AI159" s="1" t="n">
        <v>0</v>
      </c>
      <c r="AJ159" s="1" t="n">
        <v>0</v>
      </c>
      <c r="AK159" s="1" t="n">
        <v>7</v>
      </c>
      <c r="AL159" s="4" t="n">
        <v>206</v>
      </c>
      <c r="AM159" s="21" t="n">
        <v>0</v>
      </c>
      <c r="AN159" s="21" t="n">
        <v>566703</v>
      </c>
      <c r="AO159" s="21" t="n">
        <v>0</v>
      </c>
      <c r="AP159" s="21" t="n">
        <v>0</v>
      </c>
      <c r="AQ159" s="21" t="n">
        <v>12863</v>
      </c>
      <c r="AR159" s="21" t="n">
        <v>0</v>
      </c>
      <c r="AS159" s="22" t="n">
        <v>0</v>
      </c>
      <c r="AU159" s="22" t="n">
        <v>0</v>
      </c>
      <c r="AW159" s="22" t="n">
        <v>0</v>
      </c>
      <c r="AY159" s="21" t="n">
        <v>15.5</v>
      </c>
      <c r="AZ159" s="21" t="n">
        <v>14.5</v>
      </c>
      <c r="BA159" s="21" t="n">
        <v>30</v>
      </c>
      <c r="BB159" s="1" t="s">
        <v>2090</v>
      </c>
      <c r="BC159" s="22" t="n">
        <v>30</v>
      </c>
      <c r="BD159" s="1" t="s">
        <v>818</v>
      </c>
      <c r="BE159" s="22" t="n">
        <v>16</v>
      </c>
      <c r="BF159" s="1" t="s">
        <v>2091</v>
      </c>
      <c r="BG159" s="22" t="n">
        <v>16</v>
      </c>
      <c r="BH159" s="21" t="n">
        <v>1465.26</v>
      </c>
      <c r="BI159" s="21" t="n">
        <v>872.97</v>
      </c>
      <c r="BJ159" s="23" t="s">
        <v>173</v>
      </c>
    </row>
    <row r="160" s="1" customFormat="true" ht="14.25" hidden="true" customHeight="false" outlineLevel="0" collapsed="false">
      <c r="A160" s="1" t="s">
        <v>2092</v>
      </c>
      <c r="B160" s="1" t="s">
        <v>2093</v>
      </c>
      <c r="C160" s="1" t="s">
        <v>59</v>
      </c>
      <c r="D160" s="1" t="s">
        <v>60</v>
      </c>
      <c r="E160" s="1" t="s">
        <v>176</v>
      </c>
      <c r="F160" s="1" t="s">
        <v>2094</v>
      </c>
      <c r="G160" s="20" t="s">
        <v>2095</v>
      </c>
      <c r="H160" s="1" t="s">
        <v>2096</v>
      </c>
      <c r="I160" s="1" t="s">
        <v>2097</v>
      </c>
      <c r="J160" s="1" t="s">
        <v>2098</v>
      </c>
      <c r="K160" s="1" t="s">
        <v>2099</v>
      </c>
      <c r="L160" s="1" t="s">
        <v>2100</v>
      </c>
      <c r="M160" s="20" t="n">
        <v>2</v>
      </c>
      <c r="U160" s="1" t="n">
        <v>1</v>
      </c>
      <c r="V160" s="1" t="n">
        <v>0</v>
      </c>
      <c r="W160" s="1" t="n">
        <v>3</v>
      </c>
      <c r="X160" s="1" t="n">
        <v>10</v>
      </c>
      <c r="Y160" s="1" t="n">
        <v>1</v>
      </c>
      <c r="Z160" s="3" t="n">
        <v>26</v>
      </c>
      <c r="AA160" s="1" t="n">
        <v>2</v>
      </c>
      <c r="AB160" s="1" t="n">
        <v>51</v>
      </c>
      <c r="AC160" s="1" t="n">
        <v>1</v>
      </c>
      <c r="AD160" s="1" t="n">
        <v>30</v>
      </c>
      <c r="AE160" s="1" t="n">
        <v>2</v>
      </c>
      <c r="AF160" s="1" t="n">
        <v>61</v>
      </c>
      <c r="AG160" s="1" t="n">
        <v>2</v>
      </c>
      <c r="AH160" s="1" t="n">
        <v>57</v>
      </c>
      <c r="AI160" s="1" t="n">
        <v>0</v>
      </c>
      <c r="AJ160" s="1" t="n">
        <v>0</v>
      </c>
      <c r="AK160" s="1" t="n">
        <v>8</v>
      </c>
      <c r="AL160" s="4" t="n">
        <v>225</v>
      </c>
      <c r="AM160" s="21" t="n">
        <v>608198</v>
      </c>
      <c r="AN160" s="21" t="n">
        <v>160623</v>
      </c>
      <c r="AO160" s="21" t="n">
        <v>0</v>
      </c>
      <c r="AP160" s="21" t="n">
        <v>887</v>
      </c>
      <c r="AQ160" s="21" t="n">
        <v>8795</v>
      </c>
      <c r="AR160" s="21" t="n">
        <v>0</v>
      </c>
      <c r="AS160" s="22" t="n">
        <v>0</v>
      </c>
      <c r="AU160" s="22" t="n">
        <v>1</v>
      </c>
      <c r="AV160" s="1" t="s">
        <v>496</v>
      </c>
      <c r="AW160" s="22" t="n">
        <v>0</v>
      </c>
      <c r="AY160" s="21" t="n">
        <v>17.5</v>
      </c>
      <c r="AZ160" s="21" t="n">
        <v>20</v>
      </c>
      <c r="BA160" s="21" t="n">
        <v>37.5</v>
      </c>
      <c r="BB160" s="1" t="s">
        <v>364</v>
      </c>
      <c r="BC160" s="22" t="n">
        <v>15</v>
      </c>
      <c r="BD160" s="1" t="s">
        <v>2077</v>
      </c>
      <c r="BE160" s="22" t="n">
        <v>17</v>
      </c>
      <c r="BF160" s="1" t="s">
        <v>2078</v>
      </c>
      <c r="BG160" s="22" t="n">
        <v>13</v>
      </c>
      <c r="BH160" s="21" t="n">
        <v>1157</v>
      </c>
      <c r="BI160" s="21" t="n">
        <v>848</v>
      </c>
      <c r="BJ160" s="23" t="s">
        <v>486</v>
      </c>
    </row>
    <row r="161" s="1" customFormat="true" ht="14.25" hidden="true" customHeight="false" outlineLevel="0" collapsed="false">
      <c r="A161" s="1" t="s">
        <v>2101</v>
      </c>
      <c r="B161" s="1" t="s">
        <v>2102</v>
      </c>
      <c r="C161" s="1" t="s">
        <v>59</v>
      </c>
      <c r="D161" s="1" t="s">
        <v>60</v>
      </c>
      <c r="E161" s="1" t="s">
        <v>368</v>
      </c>
      <c r="F161" s="1" t="s">
        <v>2103</v>
      </c>
      <c r="G161" s="20" t="s">
        <v>2104</v>
      </c>
      <c r="H161" s="1" t="s">
        <v>2105</v>
      </c>
      <c r="I161" s="1" t="s">
        <v>2106</v>
      </c>
      <c r="J161" s="1" t="s">
        <v>2107</v>
      </c>
      <c r="K161" s="1" t="s">
        <v>2108</v>
      </c>
      <c r="L161" s="1" t="n">
        <v>1</v>
      </c>
      <c r="M161" s="20"/>
      <c r="U161" s="1" t="n">
        <v>0</v>
      </c>
      <c r="V161" s="1" t="n">
        <v>0</v>
      </c>
      <c r="W161" s="1" t="n">
        <v>1</v>
      </c>
      <c r="X161" s="1" t="n">
        <v>2</v>
      </c>
      <c r="Y161" s="1" t="n">
        <v>0</v>
      </c>
      <c r="Z161" s="3" t="n">
        <v>0</v>
      </c>
      <c r="AA161" s="1" t="n">
        <v>1</v>
      </c>
      <c r="AB161" s="1" t="n">
        <v>26</v>
      </c>
      <c r="AC161" s="1" t="n">
        <v>2</v>
      </c>
      <c r="AD161" s="1" t="n">
        <v>60</v>
      </c>
      <c r="AE161" s="1" t="n">
        <v>2</v>
      </c>
      <c r="AF161" s="1" t="n">
        <v>65</v>
      </c>
      <c r="AG161" s="1" t="n">
        <v>1</v>
      </c>
      <c r="AH161" s="1" t="n">
        <v>34</v>
      </c>
      <c r="AI161" s="1" t="n">
        <v>0</v>
      </c>
      <c r="AJ161" s="1" t="n">
        <v>0</v>
      </c>
      <c r="AK161" s="1" t="n">
        <v>6</v>
      </c>
      <c r="AL161" s="4" t="n">
        <v>185</v>
      </c>
      <c r="AM161" s="21" t="n">
        <v>455282</v>
      </c>
      <c r="AN161" s="21" t="n">
        <v>139317</v>
      </c>
      <c r="AO161" s="21" t="n">
        <v>1080</v>
      </c>
      <c r="AP161" s="21" t="n">
        <v>0</v>
      </c>
      <c r="AQ161" s="21" t="n">
        <v>10487</v>
      </c>
      <c r="AR161" s="21" t="n">
        <v>0</v>
      </c>
      <c r="AS161" s="22" t="n">
        <v>0</v>
      </c>
      <c r="AU161" s="22" t="n">
        <v>1</v>
      </c>
      <c r="AW161" s="22" t="n">
        <v>0</v>
      </c>
      <c r="AY161" s="21" t="n">
        <v>13.5</v>
      </c>
      <c r="AZ161" s="21" t="n">
        <v>12.5</v>
      </c>
      <c r="BA161" s="21" t="n">
        <v>26</v>
      </c>
      <c r="BC161" s="22" t="n">
        <v>14</v>
      </c>
      <c r="BE161" s="22"/>
      <c r="BG161" s="22"/>
      <c r="BH161" s="21" t="n">
        <v>1228.08</v>
      </c>
      <c r="BI161" s="21" t="n">
        <v>831.21</v>
      </c>
      <c r="BJ161" s="23" t="s">
        <v>268</v>
      </c>
    </row>
    <row r="162" s="1" customFormat="true" ht="14.25" hidden="true" customHeight="false" outlineLevel="0" collapsed="false">
      <c r="A162" s="1" t="s">
        <v>2109</v>
      </c>
      <c r="B162" s="1" t="s">
        <v>2110</v>
      </c>
      <c r="C162" s="1" t="s">
        <v>59</v>
      </c>
      <c r="D162" s="1" t="s">
        <v>60</v>
      </c>
      <c r="E162" s="1" t="s">
        <v>312</v>
      </c>
      <c r="F162" s="1" t="s">
        <v>2111</v>
      </c>
      <c r="G162" s="20" t="s">
        <v>2112</v>
      </c>
      <c r="H162" s="1" t="s">
        <v>2113</v>
      </c>
      <c r="I162" s="1" t="s">
        <v>2114</v>
      </c>
      <c r="J162" s="1" t="s">
        <v>2115</v>
      </c>
      <c r="K162" s="1" t="s">
        <v>2116</v>
      </c>
      <c r="L162" s="1" t="s">
        <v>2117</v>
      </c>
      <c r="M162" s="20" t="n">
        <v>1</v>
      </c>
      <c r="N162" s="1" t="s">
        <v>2118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3" t="n">
        <v>0</v>
      </c>
      <c r="AA162" s="1" t="n">
        <v>1</v>
      </c>
      <c r="AB162" s="1" t="n">
        <v>25</v>
      </c>
      <c r="AC162" s="1" t="n">
        <v>1</v>
      </c>
      <c r="AD162" s="1" t="n">
        <v>30</v>
      </c>
      <c r="AE162" s="1" t="n">
        <v>1</v>
      </c>
      <c r="AF162" s="1" t="n">
        <v>32</v>
      </c>
      <c r="AG162" s="1" t="n">
        <v>1</v>
      </c>
      <c r="AH162" s="1" t="n">
        <v>30</v>
      </c>
      <c r="AI162" s="1" t="n">
        <v>0</v>
      </c>
      <c r="AJ162" s="1" t="n">
        <v>0</v>
      </c>
      <c r="AK162" s="1" t="n">
        <v>4</v>
      </c>
      <c r="AL162" s="4" t="n">
        <v>117</v>
      </c>
      <c r="AM162" s="21" t="n">
        <v>357901</v>
      </c>
      <c r="AN162" s="21" t="n">
        <v>100246</v>
      </c>
      <c r="AO162" s="21" t="n">
        <v>0</v>
      </c>
      <c r="AP162" s="21" t="n">
        <v>0</v>
      </c>
      <c r="AQ162" s="21" t="n">
        <v>4958</v>
      </c>
      <c r="AR162" s="21" t="n">
        <v>0</v>
      </c>
      <c r="AS162" s="22" t="n">
        <v>0</v>
      </c>
      <c r="AU162" s="22" t="n">
        <v>0</v>
      </c>
      <c r="AW162" s="22" t="n">
        <v>0</v>
      </c>
      <c r="AY162" s="21" t="n">
        <v>9.5</v>
      </c>
      <c r="AZ162" s="21" t="n">
        <v>9</v>
      </c>
      <c r="BA162" s="21" t="n">
        <v>18.5</v>
      </c>
      <c r="BB162" s="1" t="s">
        <v>2119</v>
      </c>
      <c r="BC162" s="22"/>
      <c r="BD162" s="1" t="s">
        <v>2120</v>
      </c>
      <c r="BE162" s="22"/>
      <c r="BF162" s="1" t="s">
        <v>2066</v>
      </c>
      <c r="BG162" s="22"/>
      <c r="BH162" s="21" t="n">
        <v>1358.73</v>
      </c>
      <c r="BI162" s="21" t="n">
        <v>763.16</v>
      </c>
      <c r="BJ162" s="23" t="s">
        <v>268</v>
      </c>
    </row>
    <row r="163" s="1" customFormat="true" ht="14.25" hidden="true" customHeight="false" outlineLevel="0" collapsed="false">
      <c r="A163" s="1" t="s">
        <v>2121</v>
      </c>
      <c r="B163" s="1" t="s">
        <v>2122</v>
      </c>
      <c r="C163" s="1" t="s">
        <v>59</v>
      </c>
      <c r="D163" s="1" t="s">
        <v>60</v>
      </c>
      <c r="E163" s="1" t="s">
        <v>74</v>
      </c>
      <c r="F163" s="1" t="s">
        <v>2123</v>
      </c>
      <c r="G163" s="20" t="s">
        <v>2124</v>
      </c>
      <c r="H163" s="1" t="s">
        <v>2125</v>
      </c>
      <c r="I163" s="1" t="s">
        <v>2126</v>
      </c>
      <c r="J163" s="1" t="s">
        <v>2127</v>
      </c>
      <c r="K163" s="1" t="s">
        <v>2128</v>
      </c>
      <c r="M163" s="20" t="n">
        <v>2</v>
      </c>
      <c r="N163" s="1" t="s">
        <v>2129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3" t="n">
        <v>0</v>
      </c>
      <c r="AA163" s="1" t="n">
        <v>2</v>
      </c>
      <c r="AB163" s="1" t="n">
        <v>55</v>
      </c>
      <c r="AC163" s="1" t="n">
        <v>2</v>
      </c>
      <c r="AD163" s="1" t="n">
        <v>64</v>
      </c>
      <c r="AE163" s="1" t="n">
        <v>2</v>
      </c>
      <c r="AF163" s="1" t="n">
        <v>63</v>
      </c>
      <c r="AG163" s="1" t="n">
        <v>2</v>
      </c>
      <c r="AH163" s="1" t="n">
        <v>52</v>
      </c>
      <c r="AI163" s="1" t="n">
        <v>0</v>
      </c>
      <c r="AJ163" s="1" t="n">
        <v>0</v>
      </c>
      <c r="AK163" s="1" t="n">
        <v>8</v>
      </c>
      <c r="AL163" s="4" t="n">
        <v>234</v>
      </c>
      <c r="AM163" s="21" t="n">
        <v>651824</v>
      </c>
      <c r="AN163" s="21" t="n">
        <v>174064</v>
      </c>
      <c r="AO163" s="21" t="n">
        <v>3900</v>
      </c>
      <c r="AP163" s="21" t="n">
        <v>2500</v>
      </c>
      <c r="AQ163" s="21" t="n">
        <v>26977</v>
      </c>
      <c r="AR163" s="21" t="n">
        <v>3569</v>
      </c>
      <c r="AS163" s="22" t="n">
        <v>0</v>
      </c>
      <c r="AU163" s="22" t="n">
        <v>1</v>
      </c>
      <c r="AV163" s="1" t="s">
        <v>2130</v>
      </c>
      <c r="AW163" s="22" t="n">
        <v>0</v>
      </c>
      <c r="AY163" s="21" t="n">
        <v>18</v>
      </c>
      <c r="AZ163" s="21" t="n">
        <v>17</v>
      </c>
      <c r="BA163" s="21" t="n">
        <v>35</v>
      </c>
      <c r="BB163" s="1" t="s">
        <v>588</v>
      </c>
      <c r="BC163" s="22" t="n">
        <v>4</v>
      </c>
      <c r="BD163" s="1" t="s">
        <v>589</v>
      </c>
      <c r="BE163" s="22" t="n">
        <v>18</v>
      </c>
      <c r="BF163" s="1" t="s">
        <v>2131</v>
      </c>
      <c r="BG163" s="22" t="n">
        <v>19</v>
      </c>
      <c r="BH163" s="21" t="n">
        <v>1267</v>
      </c>
      <c r="BI163" s="21" t="n">
        <v>725</v>
      </c>
      <c r="BJ163" s="23" t="s">
        <v>268</v>
      </c>
    </row>
    <row r="164" s="1" customFormat="true" ht="14.25" hidden="true" customHeight="false" outlineLevel="0" collapsed="false">
      <c r="A164" s="1" t="s">
        <v>2132</v>
      </c>
      <c r="B164" s="1" t="s">
        <v>2133</v>
      </c>
      <c r="C164" s="1" t="s">
        <v>59</v>
      </c>
      <c r="D164" s="1" t="s">
        <v>60</v>
      </c>
      <c r="E164" s="1" t="s">
        <v>848</v>
      </c>
      <c r="F164" s="1" t="s">
        <v>2134</v>
      </c>
      <c r="G164" s="20" t="s">
        <v>2135</v>
      </c>
      <c r="H164" s="1" t="s">
        <v>2136</v>
      </c>
      <c r="I164" s="1" t="s">
        <v>2137</v>
      </c>
      <c r="J164" s="1" t="s">
        <v>2138</v>
      </c>
      <c r="K164" s="1" t="s">
        <v>2139</v>
      </c>
      <c r="L164" s="1" t="s">
        <v>2140</v>
      </c>
      <c r="M164" s="20" t="n">
        <v>3</v>
      </c>
      <c r="N164" s="1" t="s">
        <v>2141</v>
      </c>
      <c r="O164" s="1" t="s">
        <v>2142</v>
      </c>
      <c r="P164" s="1" t="s">
        <v>2143</v>
      </c>
      <c r="U164" s="1" t="n">
        <v>2</v>
      </c>
      <c r="V164" s="1" t="n">
        <v>0</v>
      </c>
      <c r="W164" s="1" t="n">
        <v>1</v>
      </c>
      <c r="X164" s="1" t="n">
        <v>0</v>
      </c>
      <c r="Y164" s="1" t="n">
        <v>0</v>
      </c>
      <c r="Z164" s="3" t="n">
        <v>0</v>
      </c>
      <c r="AA164" s="1" t="n">
        <v>2</v>
      </c>
      <c r="AB164" s="1" t="n">
        <v>51</v>
      </c>
      <c r="AC164" s="1" t="n">
        <v>3</v>
      </c>
      <c r="AD164" s="1" t="n">
        <v>80</v>
      </c>
      <c r="AE164" s="1" t="n">
        <v>2</v>
      </c>
      <c r="AF164" s="1" t="n">
        <v>59</v>
      </c>
      <c r="AG164" s="1" t="n">
        <v>2</v>
      </c>
      <c r="AH164" s="1" t="n">
        <v>57</v>
      </c>
      <c r="AI164" s="1" t="n">
        <v>0</v>
      </c>
      <c r="AJ164" s="1" t="n">
        <v>0</v>
      </c>
      <c r="AK164" s="1" t="n">
        <v>9</v>
      </c>
      <c r="AL164" s="4" t="n">
        <v>247</v>
      </c>
      <c r="AM164" s="21" t="n">
        <v>630380</v>
      </c>
      <c r="AN164" s="21" t="n">
        <v>186827</v>
      </c>
      <c r="AO164" s="21" t="n">
        <v>0</v>
      </c>
      <c r="AP164" s="21" t="n">
        <v>8380</v>
      </c>
      <c r="AQ164" s="21" t="n">
        <v>8314</v>
      </c>
      <c r="AR164" s="21" t="n">
        <v>0</v>
      </c>
      <c r="AS164" s="22" t="n">
        <v>1</v>
      </c>
      <c r="AT164" s="1" t="s">
        <v>2144</v>
      </c>
      <c r="AU164" s="22" t="n">
        <v>1</v>
      </c>
      <c r="AV164" s="1" t="s">
        <v>2145</v>
      </c>
      <c r="AW164" s="22" t="n">
        <v>0</v>
      </c>
      <c r="AY164" s="21" t="n">
        <v>20</v>
      </c>
      <c r="AZ164" s="21" t="n">
        <v>17</v>
      </c>
      <c r="BA164" s="21" t="n">
        <v>37</v>
      </c>
      <c r="BB164" s="1" t="s">
        <v>2146</v>
      </c>
      <c r="BC164" s="22" t="n">
        <v>20</v>
      </c>
      <c r="BE164" s="22"/>
      <c r="BG164" s="22"/>
      <c r="BH164" s="21" t="n">
        <v>1319</v>
      </c>
      <c r="BI164" s="21" t="n">
        <v>824</v>
      </c>
      <c r="BJ164" s="23" t="s">
        <v>486</v>
      </c>
    </row>
    <row r="165" s="1" customFormat="true" ht="14.25" hidden="true" customHeight="false" outlineLevel="0" collapsed="false">
      <c r="A165" s="1" t="s">
        <v>2147</v>
      </c>
      <c r="B165" s="1" t="s">
        <v>2148</v>
      </c>
      <c r="C165" s="1" t="s">
        <v>59</v>
      </c>
      <c r="D165" s="1" t="s">
        <v>60</v>
      </c>
      <c r="E165" s="1" t="s">
        <v>757</v>
      </c>
      <c r="F165" s="1" t="s">
        <v>2149</v>
      </c>
      <c r="G165" s="20" t="s">
        <v>2150</v>
      </c>
      <c r="H165" s="1" t="s">
        <v>2151</v>
      </c>
      <c r="I165" s="1" t="s">
        <v>2152</v>
      </c>
      <c r="J165" s="1" t="s">
        <v>2153</v>
      </c>
      <c r="K165" s="1" t="s">
        <v>2154</v>
      </c>
      <c r="L165" s="1" t="s">
        <v>2155</v>
      </c>
      <c r="M165" s="20"/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3" t="n">
        <v>0</v>
      </c>
      <c r="AA165" s="1" t="n">
        <v>2</v>
      </c>
      <c r="AB165" s="1" t="n">
        <v>56</v>
      </c>
      <c r="AC165" s="1" t="n">
        <v>1</v>
      </c>
      <c r="AD165" s="1" t="n">
        <v>31</v>
      </c>
      <c r="AE165" s="1" t="n">
        <v>2</v>
      </c>
      <c r="AF165" s="1" t="n">
        <v>63</v>
      </c>
      <c r="AG165" s="1" t="n">
        <v>1</v>
      </c>
      <c r="AH165" s="1" t="n">
        <v>29</v>
      </c>
      <c r="AI165" s="1" t="n">
        <v>0</v>
      </c>
      <c r="AJ165" s="1" t="n">
        <v>0</v>
      </c>
      <c r="AK165" s="1" t="n">
        <v>6</v>
      </c>
      <c r="AL165" s="4" t="n">
        <v>179</v>
      </c>
      <c r="AM165" s="21" t="n">
        <v>0</v>
      </c>
      <c r="AN165" s="21" t="n">
        <v>596374</v>
      </c>
      <c r="AO165" s="21" t="n">
        <v>0</v>
      </c>
      <c r="AP165" s="21" t="n">
        <v>0</v>
      </c>
      <c r="AQ165" s="21" t="n">
        <v>8700</v>
      </c>
      <c r="AR165" s="21" t="n">
        <v>0</v>
      </c>
      <c r="AS165" s="22" t="n">
        <v>0</v>
      </c>
      <c r="AU165" s="22" t="n">
        <v>0</v>
      </c>
      <c r="AW165" s="22" t="n">
        <v>0</v>
      </c>
      <c r="AY165" s="21" t="n">
        <v>14</v>
      </c>
      <c r="AZ165" s="21" t="n">
        <v>13</v>
      </c>
      <c r="BA165" s="21" t="n">
        <v>27</v>
      </c>
      <c r="BB165" s="1" t="s">
        <v>1461</v>
      </c>
      <c r="BC165" s="22" t="n">
        <v>10</v>
      </c>
      <c r="BE165" s="22"/>
      <c r="BG165" s="22"/>
      <c r="BH165" s="21" t="n">
        <v>1475</v>
      </c>
      <c r="BI165" s="21" t="n">
        <v>818</v>
      </c>
      <c r="BJ165" s="23" t="s">
        <v>486</v>
      </c>
    </row>
    <row r="166" s="1" customFormat="true" ht="14.25" hidden="true" customHeight="false" outlineLevel="0" collapsed="false">
      <c r="A166" s="1" t="s">
        <v>2156</v>
      </c>
      <c r="B166" s="1" t="s">
        <v>2157</v>
      </c>
      <c r="C166" s="1" t="s">
        <v>59</v>
      </c>
      <c r="D166" s="1" t="s">
        <v>60</v>
      </c>
      <c r="E166" s="1" t="s">
        <v>137</v>
      </c>
      <c r="F166" s="1" t="s">
        <v>2158</v>
      </c>
      <c r="G166" s="20" t="s">
        <v>2159</v>
      </c>
      <c r="H166" s="1" t="s">
        <v>2160</v>
      </c>
      <c r="I166" s="1" t="s">
        <v>2161</v>
      </c>
      <c r="J166" s="1" t="s">
        <v>2162</v>
      </c>
      <c r="K166" s="1" t="s">
        <v>2163</v>
      </c>
      <c r="L166" s="1" t="n">
        <v>1966</v>
      </c>
      <c r="M166" s="20" t="n">
        <v>2</v>
      </c>
      <c r="N166" s="1" t="s">
        <v>2164</v>
      </c>
      <c r="O166" s="1" t="s">
        <v>2165</v>
      </c>
      <c r="U166" s="1" t="n">
        <v>1</v>
      </c>
      <c r="V166" s="1" t="n">
        <v>0</v>
      </c>
      <c r="W166" s="1" t="n">
        <v>1</v>
      </c>
      <c r="X166" s="1" t="n">
        <v>4</v>
      </c>
      <c r="Y166" s="1" t="n">
        <v>1</v>
      </c>
      <c r="Z166" s="3" t="n">
        <v>23</v>
      </c>
      <c r="AA166" s="1" t="n">
        <v>3</v>
      </c>
      <c r="AB166" s="1" t="n">
        <v>75</v>
      </c>
      <c r="AC166" s="1" t="n">
        <v>2</v>
      </c>
      <c r="AD166" s="1" t="n">
        <v>55</v>
      </c>
      <c r="AE166" s="1" t="n">
        <v>1</v>
      </c>
      <c r="AF166" s="1" t="n">
        <v>30</v>
      </c>
      <c r="AG166" s="1" t="n">
        <v>1</v>
      </c>
      <c r="AH166" s="1" t="n">
        <v>30</v>
      </c>
      <c r="AI166" s="1" t="n">
        <v>0</v>
      </c>
      <c r="AJ166" s="1" t="n">
        <v>0</v>
      </c>
      <c r="AK166" s="1" t="n">
        <v>8</v>
      </c>
      <c r="AL166" s="4" t="n">
        <v>213</v>
      </c>
      <c r="AM166" s="21" t="n">
        <v>551441</v>
      </c>
      <c r="AN166" s="21" t="n">
        <v>152662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2" t="n">
        <v>1</v>
      </c>
      <c r="AT166" s="1" t="s">
        <v>2166</v>
      </c>
      <c r="AU166" s="22" t="n">
        <v>0</v>
      </c>
      <c r="AW166" s="22" t="n">
        <v>0</v>
      </c>
      <c r="AY166" s="21" t="n">
        <v>17</v>
      </c>
      <c r="AZ166" s="21" t="n">
        <v>17.5</v>
      </c>
      <c r="BA166" s="21" t="n">
        <v>34.5</v>
      </c>
      <c r="BB166" s="1" t="s">
        <v>2167</v>
      </c>
      <c r="BC166" s="22" t="n">
        <v>14</v>
      </c>
      <c r="BD166" s="1" t="s">
        <v>2168</v>
      </c>
      <c r="BE166" s="22" t="n">
        <v>14</v>
      </c>
      <c r="BF166" s="1" t="s">
        <v>2169</v>
      </c>
      <c r="BG166" s="22" t="n">
        <v>14</v>
      </c>
      <c r="BH166" s="21"/>
      <c r="BI166" s="21"/>
      <c r="BJ166" s="23" t="s">
        <v>486</v>
      </c>
    </row>
    <row r="167" s="1" customFormat="true" ht="14.25" hidden="true" customHeight="false" outlineLevel="0" collapsed="false">
      <c r="A167" s="1" t="s">
        <v>2170</v>
      </c>
      <c r="B167" s="1" t="s">
        <v>2171</v>
      </c>
      <c r="C167" s="1" t="s">
        <v>59</v>
      </c>
      <c r="D167" s="1" t="s">
        <v>60</v>
      </c>
      <c r="E167" s="1" t="s">
        <v>137</v>
      </c>
      <c r="F167" s="1" t="s">
        <v>2172</v>
      </c>
      <c r="G167" s="20" t="s">
        <v>2173</v>
      </c>
      <c r="H167" s="1" t="s">
        <v>2174</v>
      </c>
      <c r="I167" s="1" t="s">
        <v>2175</v>
      </c>
      <c r="J167" s="1" t="s">
        <v>2176</v>
      </c>
      <c r="K167" s="1" t="s">
        <v>2177</v>
      </c>
      <c r="L167" s="1" t="s">
        <v>2178</v>
      </c>
      <c r="M167" s="20" t="n">
        <v>1</v>
      </c>
      <c r="N167" s="1" t="s">
        <v>2172</v>
      </c>
      <c r="U167" s="1" t="n">
        <v>2</v>
      </c>
      <c r="V167" s="1" t="n">
        <v>0</v>
      </c>
      <c r="W167" s="1" t="n">
        <v>2</v>
      </c>
      <c r="X167" s="1" t="n">
        <v>8</v>
      </c>
      <c r="Y167" s="1" t="n">
        <v>3</v>
      </c>
      <c r="Z167" s="3" t="n">
        <v>71</v>
      </c>
      <c r="AA167" s="1" t="n">
        <v>2</v>
      </c>
      <c r="AB167" s="1" t="n">
        <v>60</v>
      </c>
      <c r="AC167" s="1" t="n">
        <v>2</v>
      </c>
      <c r="AD167" s="1" t="n">
        <v>59</v>
      </c>
      <c r="AE167" s="1" t="n">
        <v>2</v>
      </c>
      <c r="AF167" s="1" t="n">
        <v>68</v>
      </c>
      <c r="AG167" s="1" t="n">
        <v>2</v>
      </c>
      <c r="AH167" s="1" t="n">
        <v>65</v>
      </c>
      <c r="AI167" s="1" t="n">
        <v>1</v>
      </c>
      <c r="AJ167" s="1" t="n">
        <v>8</v>
      </c>
      <c r="AK167" s="1" t="n">
        <v>12</v>
      </c>
      <c r="AL167" s="4" t="n">
        <v>331</v>
      </c>
      <c r="AM167" s="21" t="n">
        <v>794444</v>
      </c>
      <c r="AN167" s="21" t="n">
        <v>270040</v>
      </c>
      <c r="AO167" s="21" t="n">
        <v>0</v>
      </c>
      <c r="AP167" s="21" t="n">
        <v>0</v>
      </c>
      <c r="AQ167" s="21" t="n">
        <v>9893</v>
      </c>
      <c r="AR167" s="21" t="n">
        <v>0</v>
      </c>
      <c r="AS167" s="22" t="n">
        <v>0</v>
      </c>
      <c r="AU167" s="22" t="n">
        <v>0</v>
      </c>
      <c r="AW167" s="22" t="n">
        <v>0</v>
      </c>
      <c r="AY167" s="21" t="n">
        <v>21.5</v>
      </c>
      <c r="AZ167" s="21" t="n">
        <v>29.5</v>
      </c>
      <c r="BA167" s="21" t="n">
        <v>51</v>
      </c>
      <c r="BB167" s="1" t="s">
        <v>146</v>
      </c>
      <c r="BC167" s="22" t="n">
        <v>4</v>
      </c>
      <c r="BD167" s="1" t="s">
        <v>114</v>
      </c>
      <c r="BE167" s="22" t="n">
        <v>22</v>
      </c>
      <c r="BG167" s="22"/>
      <c r="BH167" s="21" t="n">
        <v>1225</v>
      </c>
      <c r="BI167" s="21" t="n">
        <v>763</v>
      </c>
      <c r="BJ167" s="23" t="s">
        <v>268</v>
      </c>
    </row>
    <row r="168" s="1" customFormat="true" ht="14.25" hidden="true" customHeight="false" outlineLevel="0" collapsed="false">
      <c r="A168" s="1" t="s">
        <v>2179</v>
      </c>
      <c r="B168" s="1" t="s">
        <v>2180</v>
      </c>
      <c r="C168" s="1" t="s">
        <v>59</v>
      </c>
      <c r="D168" s="1" t="s">
        <v>234</v>
      </c>
      <c r="E168" s="1" t="s">
        <v>137</v>
      </c>
      <c r="F168" s="1" t="s">
        <v>2181</v>
      </c>
      <c r="G168" s="20" t="s">
        <v>2182</v>
      </c>
      <c r="H168" s="1" t="s">
        <v>2183</v>
      </c>
      <c r="I168" s="1" t="s">
        <v>2184</v>
      </c>
      <c r="J168" s="1" t="s">
        <v>550</v>
      </c>
      <c r="K168" s="1" t="s">
        <v>2185</v>
      </c>
      <c r="L168" s="1" t="s">
        <v>2186</v>
      </c>
      <c r="M168" s="20" t="n">
        <v>1</v>
      </c>
      <c r="N168" s="1" t="s">
        <v>2181</v>
      </c>
      <c r="U168" s="1" t="n">
        <v>2</v>
      </c>
      <c r="V168" s="1" t="n">
        <v>0</v>
      </c>
      <c r="W168" s="1" t="n">
        <v>2</v>
      </c>
      <c r="X168" s="1" t="n">
        <v>0</v>
      </c>
      <c r="Y168" s="1" t="n">
        <v>2</v>
      </c>
      <c r="Z168" s="3" t="n">
        <v>50</v>
      </c>
      <c r="AA168" s="1" t="n">
        <v>2</v>
      </c>
      <c r="AB168" s="1" t="n">
        <v>55</v>
      </c>
      <c r="AC168" s="1" t="n">
        <v>2</v>
      </c>
      <c r="AD168" s="1" t="n">
        <v>57</v>
      </c>
      <c r="AE168" s="1" t="n">
        <v>1</v>
      </c>
      <c r="AF168" s="1" t="n">
        <v>30</v>
      </c>
      <c r="AG168" s="1" t="n">
        <v>1</v>
      </c>
      <c r="AH168" s="1" t="n">
        <v>27</v>
      </c>
      <c r="AI168" s="1" t="n">
        <v>1</v>
      </c>
      <c r="AJ168" s="1" t="n">
        <v>10</v>
      </c>
      <c r="AK168" s="1" t="n">
        <v>9</v>
      </c>
      <c r="AL168" s="4" t="n">
        <v>229</v>
      </c>
      <c r="AM168" s="21" t="n">
        <v>667153</v>
      </c>
      <c r="AN168" s="21" t="n">
        <v>208999</v>
      </c>
      <c r="AO168" s="21" t="n">
        <v>0</v>
      </c>
      <c r="AP168" s="21" t="n">
        <v>3371.92</v>
      </c>
      <c r="AQ168" s="21" t="n">
        <v>13884</v>
      </c>
      <c r="AR168" s="21" t="n">
        <v>0</v>
      </c>
      <c r="AS168" s="22" t="n">
        <v>0</v>
      </c>
      <c r="AU168" s="22" t="n">
        <v>0</v>
      </c>
      <c r="AW168" s="22" t="n">
        <v>1</v>
      </c>
      <c r="AX168" s="1" t="s">
        <v>2187</v>
      </c>
      <c r="AY168" s="21" t="n">
        <v>17</v>
      </c>
      <c r="AZ168" s="21" t="n">
        <v>18.5</v>
      </c>
      <c r="BA168" s="21" t="n">
        <v>35.5</v>
      </c>
      <c r="BB168" s="1" t="s">
        <v>2188</v>
      </c>
      <c r="BC168" s="22" t="n">
        <v>0</v>
      </c>
      <c r="BD168" s="1" t="s">
        <v>1509</v>
      </c>
      <c r="BE168" s="22" t="n">
        <v>19</v>
      </c>
      <c r="BG168" s="22"/>
      <c r="BH168" s="21" t="n">
        <v>1043.94</v>
      </c>
      <c r="BI168" s="21" t="n">
        <v>742.37</v>
      </c>
      <c r="BJ168" s="23" t="s">
        <v>173</v>
      </c>
    </row>
    <row r="169" s="1" customFormat="true" ht="14.25" hidden="true" customHeight="false" outlineLevel="0" collapsed="false">
      <c r="A169" s="1" t="s">
        <v>2189</v>
      </c>
      <c r="B169" s="1" t="s">
        <v>2190</v>
      </c>
      <c r="C169" s="1" t="s">
        <v>59</v>
      </c>
      <c r="D169" s="1" t="s">
        <v>60</v>
      </c>
      <c r="E169" s="1" t="s">
        <v>324</v>
      </c>
      <c r="F169" s="1" t="s">
        <v>2191</v>
      </c>
      <c r="G169" s="20" t="s">
        <v>2192</v>
      </c>
      <c r="H169" s="1" t="s">
        <v>2193</v>
      </c>
      <c r="I169" s="1" t="s">
        <v>2194</v>
      </c>
      <c r="K169" s="1" t="s">
        <v>2195</v>
      </c>
      <c r="M169" s="20" t="n">
        <v>2</v>
      </c>
      <c r="N169" s="1" t="s">
        <v>2196</v>
      </c>
      <c r="U169" s="1" t="n">
        <v>4</v>
      </c>
      <c r="V169" s="1" t="n">
        <v>0</v>
      </c>
      <c r="W169" s="1" t="n">
        <v>2</v>
      </c>
      <c r="X169" s="1" t="n">
        <v>0</v>
      </c>
      <c r="Y169" s="1" t="n">
        <v>0</v>
      </c>
      <c r="Z169" s="3" t="n">
        <v>0</v>
      </c>
      <c r="AA169" s="1" t="n">
        <v>4</v>
      </c>
      <c r="AB169" s="1" t="n">
        <v>102</v>
      </c>
      <c r="AC169" s="1" t="n">
        <v>3</v>
      </c>
      <c r="AD169" s="1" t="n">
        <v>91</v>
      </c>
      <c r="AE169" s="1" t="n">
        <v>3</v>
      </c>
      <c r="AF169" s="1" t="n">
        <v>90</v>
      </c>
      <c r="AG169" s="1" t="n">
        <v>2</v>
      </c>
      <c r="AH169" s="1" t="n">
        <v>57</v>
      </c>
      <c r="AI169" s="1" t="n">
        <v>0</v>
      </c>
      <c r="AJ169" s="1" t="n">
        <v>0</v>
      </c>
      <c r="AK169" s="1" t="n">
        <v>12</v>
      </c>
      <c r="AL169" s="4" t="n">
        <v>340</v>
      </c>
      <c r="AM169" s="21" t="n">
        <v>897081</v>
      </c>
      <c r="AN169" s="21" t="n">
        <v>244523</v>
      </c>
      <c r="AO169" s="21" t="n">
        <v>0</v>
      </c>
      <c r="AP169" s="21" t="n">
        <v>0</v>
      </c>
      <c r="AQ169" s="21" t="n">
        <v>16677</v>
      </c>
      <c r="AR169" s="21" t="n">
        <v>0</v>
      </c>
      <c r="AS169" s="22" t="n">
        <v>0</v>
      </c>
      <c r="AU169" s="22" t="n">
        <v>0</v>
      </c>
      <c r="AW169" s="22" t="n">
        <v>0</v>
      </c>
      <c r="AY169" s="21" t="n">
        <v>26</v>
      </c>
      <c r="AZ169" s="21" t="n">
        <v>26</v>
      </c>
      <c r="BA169" s="21" t="n">
        <v>52</v>
      </c>
      <c r="BB169" s="1" t="s">
        <v>2197</v>
      </c>
      <c r="BC169" s="22" t="n">
        <v>1</v>
      </c>
      <c r="BD169" s="1" t="s">
        <v>2198</v>
      </c>
      <c r="BE169" s="22" t="n">
        <v>2</v>
      </c>
      <c r="BF169" s="1" t="s">
        <v>2199</v>
      </c>
      <c r="BG169" s="22" t="n">
        <v>1</v>
      </c>
      <c r="BH169" s="21" t="n">
        <v>1367.57</v>
      </c>
      <c r="BI169" s="21" t="n">
        <v>802.96</v>
      </c>
      <c r="BJ169" s="23" t="s">
        <v>201</v>
      </c>
    </row>
    <row r="170" s="1" customFormat="true" ht="14.25" hidden="true" customHeight="false" outlineLevel="0" collapsed="false">
      <c r="A170" s="1" t="s">
        <v>2200</v>
      </c>
      <c r="B170" s="1" t="s">
        <v>2201</v>
      </c>
      <c r="C170" s="1" t="s">
        <v>59</v>
      </c>
      <c r="D170" s="1" t="s">
        <v>60</v>
      </c>
      <c r="E170" s="1" t="s">
        <v>312</v>
      </c>
      <c r="F170" s="1" t="s">
        <v>2202</v>
      </c>
      <c r="G170" s="20" t="s">
        <v>2203</v>
      </c>
      <c r="H170" s="1" t="s">
        <v>2204</v>
      </c>
      <c r="I170" s="1" t="s">
        <v>2205</v>
      </c>
      <c r="J170" s="1" t="s">
        <v>2206</v>
      </c>
      <c r="K170" s="1" t="s">
        <v>2207</v>
      </c>
      <c r="L170" s="1" t="s">
        <v>2117</v>
      </c>
      <c r="M170" s="20" t="n">
        <v>1</v>
      </c>
      <c r="U170" s="1" t="n">
        <v>1</v>
      </c>
      <c r="V170" s="1" t="n">
        <v>0</v>
      </c>
      <c r="W170" s="1" t="n">
        <v>0</v>
      </c>
      <c r="X170" s="1" t="n">
        <v>0</v>
      </c>
      <c r="Y170" s="1" t="n">
        <v>0</v>
      </c>
      <c r="Z170" s="3" t="n">
        <v>0</v>
      </c>
      <c r="AA170" s="1" t="n">
        <v>1</v>
      </c>
      <c r="AB170" s="1" t="n">
        <v>25</v>
      </c>
      <c r="AC170" s="1" t="n">
        <v>2</v>
      </c>
      <c r="AD170" s="1" t="n">
        <v>60</v>
      </c>
      <c r="AE170" s="1" t="n">
        <v>1</v>
      </c>
      <c r="AF170" s="1" t="n">
        <v>29</v>
      </c>
      <c r="AG170" s="1" t="n">
        <v>2</v>
      </c>
      <c r="AH170" s="1" t="n">
        <v>60</v>
      </c>
      <c r="AI170" s="1" t="n">
        <v>0</v>
      </c>
      <c r="AJ170" s="1" t="n">
        <v>0</v>
      </c>
      <c r="AK170" s="1" t="n">
        <v>6</v>
      </c>
      <c r="AL170" s="4" t="n">
        <v>174</v>
      </c>
      <c r="AM170" s="21" t="n">
        <v>400900</v>
      </c>
      <c r="AN170" s="21" t="n">
        <v>135356</v>
      </c>
      <c r="AO170" s="21" t="n">
        <v>0</v>
      </c>
      <c r="AP170" s="21" t="n">
        <v>0</v>
      </c>
      <c r="AQ170" s="21" t="n">
        <v>21123</v>
      </c>
      <c r="AR170" s="21" t="n">
        <v>46</v>
      </c>
      <c r="AS170" s="22" t="n">
        <v>0</v>
      </c>
      <c r="AU170" s="22" t="n">
        <v>0</v>
      </c>
      <c r="AW170" s="22" t="n">
        <v>0</v>
      </c>
      <c r="AY170" s="21" t="n">
        <v>14</v>
      </c>
      <c r="AZ170" s="21" t="n">
        <v>12.5</v>
      </c>
      <c r="BA170" s="21" t="n">
        <v>26.5</v>
      </c>
      <c r="BB170" s="1" t="s">
        <v>2208</v>
      </c>
      <c r="BC170" s="22" t="n">
        <v>19</v>
      </c>
      <c r="BD170" s="1" t="s">
        <v>885</v>
      </c>
      <c r="BE170" s="22" t="n">
        <v>12</v>
      </c>
      <c r="BF170" s="1" t="s">
        <v>2209</v>
      </c>
      <c r="BG170" s="22" t="n">
        <v>19</v>
      </c>
      <c r="BH170" s="21" t="n">
        <v>1221.67</v>
      </c>
      <c r="BI170" s="21" t="n">
        <v>829.13</v>
      </c>
      <c r="BJ170" s="23" t="s">
        <v>101</v>
      </c>
    </row>
    <row r="171" s="1" customFormat="true" ht="14.25" hidden="true" customHeight="false" outlineLevel="0" collapsed="false">
      <c r="A171" s="1" t="s">
        <v>2210</v>
      </c>
      <c r="B171" s="1" t="s">
        <v>2211</v>
      </c>
      <c r="C171" s="1" t="s">
        <v>59</v>
      </c>
      <c r="D171" s="1" t="s">
        <v>60</v>
      </c>
      <c r="E171" s="1" t="s">
        <v>312</v>
      </c>
      <c r="F171" s="1" t="s">
        <v>2212</v>
      </c>
      <c r="G171" s="20" t="s">
        <v>2213</v>
      </c>
      <c r="H171" s="1" t="s">
        <v>2214</v>
      </c>
      <c r="I171" s="1" t="s">
        <v>2215</v>
      </c>
      <c r="J171" s="1" t="s">
        <v>2216</v>
      </c>
      <c r="K171" s="1" t="s">
        <v>2217</v>
      </c>
      <c r="L171" s="1" t="s">
        <v>2218</v>
      </c>
      <c r="M171" s="20" t="n">
        <v>1</v>
      </c>
      <c r="U171" s="1" t="n">
        <v>2</v>
      </c>
      <c r="V171" s="1" t="n">
        <v>0</v>
      </c>
      <c r="W171" s="1" t="n">
        <v>1</v>
      </c>
      <c r="X171" s="1" t="n">
        <v>0</v>
      </c>
      <c r="Y171" s="1" t="n">
        <v>2</v>
      </c>
      <c r="Z171" s="3" t="n">
        <v>50</v>
      </c>
      <c r="AA171" s="1" t="n">
        <v>1</v>
      </c>
      <c r="AB171" s="1" t="n">
        <v>29</v>
      </c>
      <c r="AC171" s="1" t="n">
        <v>1</v>
      </c>
      <c r="AD171" s="1" t="n">
        <v>36</v>
      </c>
      <c r="AE171" s="1" t="n">
        <v>1</v>
      </c>
      <c r="AF171" s="1" t="n">
        <v>38</v>
      </c>
      <c r="AG171" s="1" t="n">
        <v>1</v>
      </c>
      <c r="AH171" s="1" t="n">
        <v>32</v>
      </c>
      <c r="AI171" s="1" t="n">
        <v>0</v>
      </c>
      <c r="AJ171" s="1" t="n">
        <v>0</v>
      </c>
      <c r="AK171" s="1" t="n">
        <v>6</v>
      </c>
      <c r="AL171" s="4" t="n">
        <v>185</v>
      </c>
      <c r="AM171" s="21" t="n">
        <v>495665</v>
      </c>
      <c r="AN171" s="21" t="n">
        <v>140189</v>
      </c>
      <c r="AO171" s="21" t="n">
        <v>0</v>
      </c>
      <c r="AP171" s="21" t="n">
        <v>200</v>
      </c>
      <c r="AQ171" s="21" t="n">
        <v>6037</v>
      </c>
      <c r="AR171" s="21" t="n">
        <v>0</v>
      </c>
      <c r="AS171" s="22" t="n">
        <v>0</v>
      </c>
      <c r="AU171" s="22" t="n">
        <v>1</v>
      </c>
      <c r="AV171" s="1" t="s">
        <v>2219</v>
      </c>
      <c r="AW171" s="22" t="n">
        <v>0</v>
      </c>
      <c r="AY171" s="21" t="n">
        <v>10.5</v>
      </c>
      <c r="AZ171" s="21" t="n">
        <v>16</v>
      </c>
      <c r="BA171" s="21" t="n">
        <v>26.5</v>
      </c>
      <c r="BB171" s="1" t="s">
        <v>2220</v>
      </c>
      <c r="BC171" s="22" t="n">
        <v>9</v>
      </c>
      <c r="BD171" s="1" t="s">
        <v>2221</v>
      </c>
      <c r="BE171" s="22" t="n">
        <v>2</v>
      </c>
      <c r="BF171" s="1" t="s">
        <v>2219</v>
      </c>
      <c r="BG171" s="22" t="n">
        <v>2</v>
      </c>
      <c r="BH171" s="21" t="n">
        <v>1211.95</v>
      </c>
      <c r="BI171" s="21" t="n">
        <v>822.63</v>
      </c>
      <c r="BJ171" s="23" t="s">
        <v>173</v>
      </c>
    </row>
    <row r="172" s="1" customFormat="true" ht="14.25" hidden="true" customHeight="false" outlineLevel="0" collapsed="false">
      <c r="A172" s="1" t="s">
        <v>2222</v>
      </c>
      <c r="B172" s="1" t="s">
        <v>2223</v>
      </c>
      <c r="C172" s="1" t="s">
        <v>59</v>
      </c>
      <c r="D172" s="1" t="s">
        <v>2224</v>
      </c>
      <c r="E172" s="1" t="s">
        <v>118</v>
      </c>
      <c r="F172" s="1" t="s">
        <v>2225</v>
      </c>
      <c r="G172" s="20" t="s">
        <v>2226</v>
      </c>
      <c r="H172" s="1" t="s">
        <v>2227</v>
      </c>
      <c r="I172" s="1" t="s">
        <v>2228</v>
      </c>
      <c r="J172" s="1" t="s">
        <v>2229</v>
      </c>
      <c r="K172" s="1" t="s">
        <v>2230</v>
      </c>
      <c r="L172" s="1" t="s">
        <v>2231</v>
      </c>
      <c r="M172" s="20" t="n">
        <v>4</v>
      </c>
      <c r="N172" s="1" t="s">
        <v>2232</v>
      </c>
      <c r="U172" s="1" t="n">
        <v>0</v>
      </c>
      <c r="V172" s="1" t="n">
        <v>0</v>
      </c>
      <c r="W172" s="1" t="n">
        <v>1</v>
      </c>
      <c r="X172" s="1" t="n">
        <v>0</v>
      </c>
      <c r="Y172" s="1" t="n">
        <v>1</v>
      </c>
      <c r="Z172" s="3" t="n">
        <v>28</v>
      </c>
      <c r="AA172" s="1" t="n">
        <v>3</v>
      </c>
      <c r="AB172" s="1" t="n">
        <v>87</v>
      </c>
      <c r="AC172" s="1" t="n">
        <v>0</v>
      </c>
      <c r="AD172" s="1" t="n">
        <v>0</v>
      </c>
      <c r="AE172" s="1" t="n">
        <v>2</v>
      </c>
      <c r="AF172" s="1" t="n">
        <v>63</v>
      </c>
      <c r="AG172" s="1" t="n">
        <v>1</v>
      </c>
      <c r="AH172" s="1" t="n">
        <v>32</v>
      </c>
      <c r="AI172" s="1" t="n">
        <v>0</v>
      </c>
      <c r="AJ172" s="1" t="n">
        <v>0</v>
      </c>
      <c r="AK172" s="1" t="n">
        <v>7</v>
      </c>
      <c r="AL172" s="4" t="n">
        <v>210</v>
      </c>
      <c r="AM172" s="21" t="n">
        <v>495902</v>
      </c>
      <c r="AN172" s="21" t="n">
        <v>146612</v>
      </c>
      <c r="AO172" s="21" t="n">
        <v>0</v>
      </c>
      <c r="AP172" s="21" t="n">
        <v>0</v>
      </c>
      <c r="AQ172" s="21" t="n">
        <v>676.25</v>
      </c>
      <c r="AR172" s="21" t="n">
        <v>0</v>
      </c>
      <c r="AS172" s="22" t="n">
        <v>0</v>
      </c>
      <c r="AU172" s="22" t="n">
        <v>0</v>
      </c>
      <c r="AW172" s="22" t="n">
        <v>0</v>
      </c>
      <c r="AY172" s="21" t="n">
        <v>14</v>
      </c>
      <c r="AZ172" s="21" t="n">
        <v>17</v>
      </c>
      <c r="BA172" s="21" t="n">
        <v>31</v>
      </c>
      <c r="BB172" s="1" t="s">
        <v>133</v>
      </c>
      <c r="BC172" s="22" t="n">
        <v>10</v>
      </c>
      <c r="BD172" s="1" t="s">
        <v>134</v>
      </c>
      <c r="BE172" s="22" t="n">
        <v>10</v>
      </c>
      <c r="BG172" s="22"/>
      <c r="BH172" s="21" t="n">
        <v>1385.99</v>
      </c>
      <c r="BI172" s="21" t="n">
        <v>831.95</v>
      </c>
      <c r="BJ172" s="23" t="s">
        <v>71</v>
      </c>
    </row>
    <row r="173" s="1" customFormat="true" ht="14.25" hidden="true" customHeight="false" outlineLevel="0" collapsed="false">
      <c r="A173" s="1" t="s">
        <v>2233</v>
      </c>
      <c r="B173" s="1" t="s">
        <v>2234</v>
      </c>
      <c r="C173" s="1" t="s">
        <v>59</v>
      </c>
      <c r="D173" s="1" t="s">
        <v>60</v>
      </c>
      <c r="E173" s="1" t="s">
        <v>324</v>
      </c>
      <c r="F173" s="1" t="s">
        <v>2235</v>
      </c>
      <c r="G173" s="20" t="s">
        <v>2236</v>
      </c>
      <c r="H173" s="1" t="s">
        <v>2237</v>
      </c>
      <c r="I173" s="1" t="s">
        <v>2238</v>
      </c>
      <c r="J173" s="1" t="s">
        <v>2239</v>
      </c>
      <c r="K173" s="1" t="s">
        <v>2240</v>
      </c>
      <c r="M173" s="20" t="n">
        <v>1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3" t="n">
        <v>0</v>
      </c>
      <c r="AA173" s="1" t="n">
        <v>2</v>
      </c>
      <c r="AB173" s="1" t="n">
        <v>53</v>
      </c>
      <c r="AC173" s="1" t="n">
        <v>1</v>
      </c>
      <c r="AD173" s="1" t="n">
        <v>30</v>
      </c>
      <c r="AE173" s="1" t="n">
        <v>1</v>
      </c>
      <c r="AF173" s="1" t="n">
        <v>30</v>
      </c>
      <c r="AG173" s="1" t="n">
        <v>2</v>
      </c>
      <c r="AH173" s="1" t="n">
        <v>57</v>
      </c>
      <c r="AI173" s="1" t="n">
        <v>0</v>
      </c>
      <c r="AJ173" s="1" t="n">
        <v>0</v>
      </c>
      <c r="AK173" s="1" t="n">
        <v>6</v>
      </c>
      <c r="AL173" s="4" t="n">
        <v>170</v>
      </c>
      <c r="AM173" s="21" t="n">
        <v>417128</v>
      </c>
      <c r="AN173" s="21" t="n">
        <v>120097</v>
      </c>
      <c r="AO173" s="21" t="n">
        <v>0</v>
      </c>
      <c r="AP173" s="21" t="n">
        <v>0</v>
      </c>
      <c r="AQ173" s="21" t="n">
        <v>4858</v>
      </c>
      <c r="AR173" s="21" t="n">
        <v>1849</v>
      </c>
      <c r="AS173" s="22" t="n">
        <v>0</v>
      </c>
      <c r="AU173" s="22" t="n">
        <v>0</v>
      </c>
      <c r="AW173" s="22" t="n">
        <v>0</v>
      </c>
      <c r="AY173" s="21" t="n">
        <v>13.5</v>
      </c>
      <c r="AZ173" s="21" t="n">
        <v>12.25</v>
      </c>
      <c r="BA173" s="21" t="n">
        <v>25.75</v>
      </c>
      <c r="BB173" s="1" t="s">
        <v>2241</v>
      </c>
      <c r="BC173" s="22" t="n">
        <v>13</v>
      </c>
      <c r="BE173" s="22"/>
      <c r="BG173" s="22"/>
      <c r="BH173" s="21" t="n">
        <v>1257.32</v>
      </c>
      <c r="BI173" s="21" t="n">
        <v>769.09</v>
      </c>
      <c r="BJ173" s="23" t="s">
        <v>173</v>
      </c>
    </row>
    <row r="174" s="1" customFormat="true" ht="28.35" hidden="true" customHeight="false" outlineLevel="0" collapsed="false">
      <c r="A174" s="1" t="s">
        <v>2242</v>
      </c>
      <c r="B174" s="1" t="s">
        <v>2243</v>
      </c>
      <c r="C174" s="1" t="s">
        <v>59</v>
      </c>
      <c r="D174" s="1" t="s">
        <v>60</v>
      </c>
      <c r="E174" s="1" t="s">
        <v>204</v>
      </c>
      <c r="F174" s="1" t="s">
        <v>2244</v>
      </c>
      <c r="G174" s="20" t="s">
        <v>2245</v>
      </c>
      <c r="H174" s="1" t="s">
        <v>2246</v>
      </c>
      <c r="I174" s="1" t="s">
        <v>2247</v>
      </c>
      <c r="J174" s="1" t="s">
        <v>2248</v>
      </c>
      <c r="K174" s="1" t="s">
        <v>2249</v>
      </c>
      <c r="L174" s="1" t="s">
        <v>2250</v>
      </c>
      <c r="M174" s="20" t="n">
        <v>2</v>
      </c>
      <c r="N174" s="27" t="s">
        <v>2251</v>
      </c>
      <c r="O174" s="27" t="s">
        <v>2252</v>
      </c>
      <c r="U174" s="1" t="n">
        <v>1</v>
      </c>
      <c r="V174" s="1" t="n">
        <v>0</v>
      </c>
      <c r="W174" s="1" t="n">
        <v>1</v>
      </c>
      <c r="X174" s="1" t="n">
        <v>1</v>
      </c>
      <c r="Y174" s="1" t="n">
        <v>2</v>
      </c>
      <c r="Z174" s="3" t="n">
        <v>53</v>
      </c>
      <c r="AA174" s="1" t="n">
        <v>2</v>
      </c>
      <c r="AB174" s="1" t="n">
        <v>50</v>
      </c>
      <c r="AC174" s="1" t="n">
        <v>2</v>
      </c>
      <c r="AD174" s="1" t="n">
        <v>55</v>
      </c>
      <c r="AE174" s="1" t="n">
        <v>2</v>
      </c>
      <c r="AF174" s="1" t="n">
        <v>64</v>
      </c>
      <c r="AG174" s="1" t="n">
        <v>4</v>
      </c>
      <c r="AH174" s="1" t="n">
        <v>110</v>
      </c>
      <c r="AI174" s="1" t="n">
        <v>0</v>
      </c>
      <c r="AJ174" s="1" t="n">
        <v>0</v>
      </c>
      <c r="AK174" s="1" t="n">
        <v>12</v>
      </c>
      <c r="AL174" s="4" t="n">
        <v>332</v>
      </c>
      <c r="AM174" s="21" t="n">
        <v>854150</v>
      </c>
      <c r="AN174" s="21" t="n">
        <v>255525</v>
      </c>
      <c r="AO174" s="21" t="n">
        <v>0</v>
      </c>
      <c r="AP174" s="21" t="n">
        <v>0</v>
      </c>
      <c r="AQ174" s="21" t="n">
        <v>5581.85</v>
      </c>
      <c r="AR174" s="21" t="n">
        <v>0</v>
      </c>
      <c r="AS174" s="22" t="n">
        <v>0</v>
      </c>
      <c r="AU174" s="22" t="n">
        <v>0</v>
      </c>
      <c r="AW174" s="22" t="n">
        <v>0</v>
      </c>
      <c r="AY174" s="21" t="n">
        <v>25</v>
      </c>
      <c r="AZ174" s="21" t="n">
        <v>26</v>
      </c>
      <c r="BA174" s="21" t="n">
        <v>51</v>
      </c>
      <c r="BB174" s="1" t="s">
        <v>2253</v>
      </c>
      <c r="BC174" s="22" t="n">
        <v>20</v>
      </c>
      <c r="BD174" s="1" t="s">
        <v>2254</v>
      </c>
      <c r="BE174" s="22" t="n">
        <v>17</v>
      </c>
      <c r="BF174" s="1" t="s">
        <v>2255</v>
      </c>
      <c r="BG174" s="22" t="n">
        <v>17</v>
      </c>
      <c r="BH174" s="21" t="n">
        <v>1303.36</v>
      </c>
      <c r="BI174" s="21" t="n">
        <v>831.46</v>
      </c>
      <c r="BJ174" s="23" t="s">
        <v>486</v>
      </c>
    </row>
    <row r="175" s="1" customFormat="true" ht="14.25" hidden="true" customHeight="false" outlineLevel="0" collapsed="false">
      <c r="A175" s="1" t="s">
        <v>2256</v>
      </c>
      <c r="B175" s="1" t="s">
        <v>2257</v>
      </c>
      <c r="C175" s="1" t="s">
        <v>59</v>
      </c>
      <c r="D175" s="1" t="s">
        <v>60</v>
      </c>
      <c r="E175" s="1" t="s">
        <v>723</v>
      </c>
      <c r="F175" s="1" t="s">
        <v>2258</v>
      </c>
      <c r="G175" s="20" t="s">
        <v>2259</v>
      </c>
      <c r="H175" s="1" t="s">
        <v>2260</v>
      </c>
      <c r="I175" s="1" t="s">
        <v>2261</v>
      </c>
      <c r="J175" s="1" t="s">
        <v>2262</v>
      </c>
      <c r="K175" s="1" t="s">
        <v>2263</v>
      </c>
      <c r="L175" s="1" t="s">
        <v>402</v>
      </c>
      <c r="M175" s="20" t="n">
        <v>1</v>
      </c>
      <c r="N175" s="1" t="s">
        <v>2264</v>
      </c>
      <c r="U175" s="1" t="n">
        <v>0</v>
      </c>
      <c r="V175" s="1" t="n">
        <v>1</v>
      </c>
      <c r="W175" s="1" t="n">
        <v>1</v>
      </c>
      <c r="X175" s="1" t="n">
        <v>0</v>
      </c>
      <c r="Y175" s="1" t="n">
        <v>2</v>
      </c>
      <c r="Z175" s="3" t="n">
        <v>51</v>
      </c>
      <c r="AA175" s="1" t="n">
        <v>2</v>
      </c>
      <c r="AB175" s="1" t="n">
        <v>52</v>
      </c>
      <c r="AC175" s="1" t="n">
        <v>2</v>
      </c>
      <c r="AD175" s="1" t="n">
        <v>55</v>
      </c>
      <c r="AE175" s="1" t="n">
        <v>2</v>
      </c>
      <c r="AF175" s="1" t="n">
        <v>59</v>
      </c>
      <c r="AG175" s="1" t="n">
        <v>2</v>
      </c>
      <c r="AH175" s="1" t="n">
        <v>43</v>
      </c>
      <c r="AI175" s="1" t="n">
        <v>0</v>
      </c>
      <c r="AJ175" s="1" t="n">
        <v>0</v>
      </c>
      <c r="AK175" s="1" t="n">
        <v>10</v>
      </c>
      <c r="AL175" s="4" t="n">
        <v>260</v>
      </c>
      <c r="AM175" s="21" t="n">
        <v>682628</v>
      </c>
      <c r="AN175" s="21" t="n">
        <v>204027</v>
      </c>
      <c r="AO175" s="21" t="n">
        <v>4540</v>
      </c>
      <c r="AP175" s="21" t="n">
        <v>1256</v>
      </c>
      <c r="AQ175" s="21" t="n">
        <v>6631</v>
      </c>
      <c r="AR175" s="21" t="n">
        <v>0</v>
      </c>
      <c r="AS175" s="22" t="n">
        <v>0</v>
      </c>
      <c r="AU175" s="22" t="n">
        <v>5</v>
      </c>
      <c r="AV175" s="1" t="s">
        <v>2265</v>
      </c>
      <c r="AW175" s="22" t="n">
        <v>0</v>
      </c>
      <c r="AY175" s="21" t="n">
        <v>19</v>
      </c>
      <c r="AZ175" s="21" t="n">
        <v>22</v>
      </c>
      <c r="BA175" s="21" t="n">
        <v>41</v>
      </c>
      <c r="BB175" s="1" t="s">
        <v>472</v>
      </c>
      <c r="BC175" s="22" t="n">
        <v>7</v>
      </c>
      <c r="BD175" s="1" t="s">
        <v>2266</v>
      </c>
      <c r="BE175" s="22" t="n">
        <v>2</v>
      </c>
      <c r="BF175" s="1" t="s">
        <v>2267</v>
      </c>
      <c r="BG175" s="22" t="n">
        <v>5</v>
      </c>
      <c r="BH175" s="21" t="n">
        <v>1193</v>
      </c>
      <c r="BI175" s="21" t="n">
        <v>784</v>
      </c>
      <c r="BJ175" s="23" t="s">
        <v>101</v>
      </c>
    </row>
    <row r="176" s="1" customFormat="true" ht="14.25" hidden="true" customHeight="false" outlineLevel="0" collapsed="false">
      <c r="A176" s="1" t="s">
        <v>2268</v>
      </c>
      <c r="B176" s="1" t="s">
        <v>2269</v>
      </c>
      <c r="C176" s="1" t="s">
        <v>59</v>
      </c>
      <c r="D176" s="1" t="s">
        <v>2270</v>
      </c>
      <c r="E176" s="1" t="s">
        <v>91</v>
      </c>
      <c r="F176" s="1" t="s">
        <v>2271</v>
      </c>
      <c r="G176" s="20" t="s">
        <v>2272</v>
      </c>
      <c r="H176" s="1" t="s">
        <v>2273</v>
      </c>
      <c r="I176" s="1" t="s">
        <v>2274</v>
      </c>
      <c r="J176" s="1" t="s">
        <v>2275</v>
      </c>
      <c r="K176" s="1" t="s">
        <v>2276</v>
      </c>
      <c r="L176" s="1" t="s">
        <v>2277</v>
      </c>
      <c r="M176" s="20" t="n">
        <v>1</v>
      </c>
      <c r="U176" s="1" t="n">
        <v>0</v>
      </c>
      <c r="V176" s="1" t="n">
        <v>0</v>
      </c>
      <c r="W176" s="1" t="n">
        <v>1</v>
      </c>
      <c r="X176" s="1" t="n">
        <v>1</v>
      </c>
      <c r="Y176" s="1" t="n">
        <v>1</v>
      </c>
      <c r="Z176" s="3" t="n">
        <v>23</v>
      </c>
      <c r="AA176" s="1" t="n">
        <v>1</v>
      </c>
      <c r="AB176" s="1" t="n">
        <v>28</v>
      </c>
      <c r="AC176" s="1" t="n">
        <v>1</v>
      </c>
      <c r="AD176" s="1" t="n">
        <v>30</v>
      </c>
      <c r="AE176" s="1" t="n">
        <v>1</v>
      </c>
      <c r="AF176" s="1" t="n">
        <v>33</v>
      </c>
      <c r="AG176" s="1" t="n">
        <v>1</v>
      </c>
      <c r="AH176" s="1" t="n">
        <v>35</v>
      </c>
      <c r="AI176" s="1" t="n">
        <v>0</v>
      </c>
      <c r="AJ176" s="1" t="n">
        <v>0</v>
      </c>
      <c r="AK176" s="1" t="n">
        <v>5</v>
      </c>
      <c r="AL176" s="4" t="n">
        <v>149</v>
      </c>
      <c r="AM176" s="21" t="n">
        <v>387758</v>
      </c>
      <c r="AN176" s="21" t="n">
        <v>108228</v>
      </c>
      <c r="AO176" s="21" t="n">
        <v>0</v>
      </c>
      <c r="AP176" s="21" t="n">
        <v>0</v>
      </c>
      <c r="AQ176" s="21" t="n">
        <v>5858</v>
      </c>
      <c r="AR176" s="21" t="n">
        <v>0</v>
      </c>
      <c r="AS176" s="22" t="n">
        <v>0</v>
      </c>
      <c r="AU176" s="22" t="n">
        <v>0</v>
      </c>
      <c r="AW176" s="22" t="n">
        <v>0</v>
      </c>
      <c r="AY176" s="21" t="n">
        <v>10.25</v>
      </c>
      <c r="AZ176" s="21" t="n">
        <v>12.25</v>
      </c>
      <c r="BA176" s="21" t="n">
        <v>22.5</v>
      </c>
      <c r="BB176" s="1" t="s">
        <v>2278</v>
      </c>
      <c r="BC176" s="22" t="n">
        <v>18</v>
      </c>
      <c r="BE176" s="22"/>
      <c r="BG176" s="22"/>
      <c r="BH176" s="21" t="n">
        <v>1415</v>
      </c>
      <c r="BI176" s="21" t="n">
        <v>831</v>
      </c>
      <c r="BJ176" s="23" t="s">
        <v>173</v>
      </c>
    </row>
    <row r="177" s="1" customFormat="true" ht="14.25" hidden="true" customHeight="false" outlineLevel="0" collapsed="false">
      <c r="A177" s="1" t="s">
        <v>2279</v>
      </c>
      <c r="B177" s="1" t="s">
        <v>2280</v>
      </c>
      <c r="C177" s="1" t="s">
        <v>59</v>
      </c>
      <c r="D177" s="1" t="s">
        <v>2281</v>
      </c>
      <c r="E177" s="1" t="s">
        <v>91</v>
      </c>
      <c r="F177" s="1" t="s">
        <v>2282</v>
      </c>
      <c r="G177" s="20" t="s">
        <v>2283</v>
      </c>
      <c r="H177" s="1" t="s">
        <v>2284</v>
      </c>
      <c r="I177" s="1" t="s">
        <v>2285</v>
      </c>
      <c r="J177" s="1" t="s">
        <v>2286</v>
      </c>
      <c r="K177" s="1" t="s">
        <v>2287</v>
      </c>
      <c r="L177" s="1" t="s">
        <v>2288</v>
      </c>
      <c r="M177" s="20" t="n">
        <v>2</v>
      </c>
      <c r="N177" s="1" t="s">
        <v>2289</v>
      </c>
      <c r="O177" s="1" t="s">
        <v>2290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3" t="n">
        <v>0</v>
      </c>
      <c r="AA177" s="1" t="n">
        <v>0</v>
      </c>
      <c r="AB177" s="1" t="n">
        <v>0</v>
      </c>
      <c r="AC177" s="1" t="n">
        <v>1</v>
      </c>
      <c r="AD177" s="1" t="n">
        <v>25</v>
      </c>
      <c r="AE177" s="1" t="n">
        <v>0</v>
      </c>
      <c r="AF177" s="1" t="n">
        <v>0</v>
      </c>
      <c r="AG177" s="1" t="n">
        <v>1</v>
      </c>
      <c r="AH177" s="1" t="n">
        <v>26</v>
      </c>
      <c r="AI177" s="1" t="n">
        <v>0</v>
      </c>
      <c r="AJ177" s="1" t="n">
        <v>0</v>
      </c>
      <c r="AK177" s="1" t="n">
        <v>2</v>
      </c>
      <c r="AL177" s="4" t="n">
        <v>51</v>
      </c>
      <c r="AM177" s="21" t="n">
        <v>167863</v>
      </c>
      <c r="AN177" s="21" t="n">
        <v>43078</v>
      </c>
      <c r="AO177" s="21" t="n">
        <v>4902</v>
      </c>
      <c r="AP177" s="21" t="n">
        <v>0</v>
      </c>
      <c r="AQ177" s="21" t="n">
        <v>549</v>
      </c>
      <c r="AR177" s="21" t="n">
        <v>0</v>
      </c>
      <c r="AS177" s="22" t="n">
        <v>0</v>
      </c>
      <c r="AU177" s="22" t="n">
        <v>1</v>
      </c>
      <c r="AV177" s="1" t="s">
        <v>2291</v>
      </c>
      <c r="AW177" s="22" t="n">
        <v>0</v>
      </c>
      <c r="AY177" s="21" t="n">
        <v>4</v>
      </c>
      <c r="AZ177" s="21" t="n">
        <v>5.375</v>
      </c>
      <c r="BA177" s="21" t="n">
        <v>9.375</v>
      </c>
      <c r="BB177" s="1" t="s">
        <v>2292</v>
      </c>
      <c r="BC177" s="22" t="n">
        <v>4</v>
      </c>
      <c r="BE177" s="22"/>
      <c r="BG177" s="22"/>
      <c r="BH177" s="21" t="n">
        <v>1297</v>
      </c>
      <c r="BI177" s="21" t="n">
        <v>808</v>
      </c>
      <c r="BJ177" s="23" t="s">
        <v>101</v>
      </c>
    </row>
    <row r="178" s="1" customFormat="true" ht="14.25" hidden="true" customHeight="false" outlineLevel="0" collapsed="false">
      <c r="A178" s="1" t="s">
        <v>2293</v>
      </c>
      <c r="B178" s="1" t="s">
        <v>2294</v>
      </c>
      <c r="C178" s="1" t="s">
        <v>59</v>
      </c>
      <c r="D178" s="1" t="s">
        <v>60</v>
      </c>
      <c r="E178" s="1" t="s">
        <v>91</v>
      </c>
      <c r="F178" s="1" t="s">
        <v>2295</v>
      </c>
      <c r="G178" s="20" t="s">
        <v>2296</v>
      </c>
      <c r="H178" s="1" t="s">
        <v>2297</v>
      </c>
      <c r="I178" s="1" t="s">
        <v>2298</v>
      </c>
      <c r="J178" s="1" t="s">
        <v>2299</v>
      </c>
      <c r="K178" s="1" t="s">
        <v>2300</v>
      </c>
      <c r="L178" s="1" t="s">
        <v>2301</v>
      </c>
      <c r="M178" s="20" t="n">
        <v>1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3" t="n">
        <v>0</v>
      </c>
      <c r="AA178" s="1" t="n">
        <v>1</v>
      </c>
      <c r="AB178" s="1" t="n">
        <v>21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1</v>
      </c>
      <c r="AH178" s="1" t="n">
        <v>21</v>
      </c>
      <c r="AI178" s="1" t="n">
        <v>0</v>
      </c>
      <c r="AJ178" s="1" t="n">
        <v>0</v>
      </c>
      <c r="AK178" s="1" t="n">
        <v>2</v>
      </c>
      <c r="AL178" s="4" t="n">
        <v>42</v>
      </c>
      <c r="AM178" s="21" t="n">
        <v>141993</v>
      </c>
      <c r="AN178" s="21" t="n">
        <v>41391</v>
      </c>
      <c r="AO178" s="21" t="n">
        <v>0</v>
      </c>
      <c r="AP178" s="21" t="n">
        <v>0</v>
      </c>
      <c r="AQ178" s="21" t="n">
        <v>1158</v>
      </c>
      <c r="AR178" s="21" t="n">
        <v>0</v>
      </c>
      <c r="AS178" s="22" t="n">
        <v>0</v>
      </c>
      <c r="AU178" s="22" t="n">
        <v>0</v>
      </c>
      <c r="AW178" s="22" t="n">
        <v>0</v>
      </c>
      <c r="AY178" s="21" t="n">
        <v>4</v>
      </c>
      <c r="AZ178" s="21" t="n">
        <v>5.875</v>
      </c>
      <c r="BA178" s="21" t="n">
        <v>9.875</v>
      </c>
      <c r="BB178" s="1" t="s">
        <v>2278</v>
      </c>
      <c r="BC178" s="22" t="n">
        <v>2</v>
      </c>
      <c r="BE178" s="22"/>
      <c r="BG178" s="22"/>
      <c r="BH178" s="21" t="n">
        <v>1201.38</v>
      </c>
      <c r="BI178" s="21" t="n">
        <v>606.49</v>
      </c>
      <c r="BJ178" s="23" t="s">
        <v>101</v>
      </c>
    </row>
    <row r="179" s="1" customFormat="true" ht="14.25" hidden="true" customHeight="false" outlineLevel="0" collapsed="false">
      <c r="A179" s="1" t="s">
        <v>2302</v>
      </c>
      <c r="B179" s="1" t="s">
        <v>2303</v>
      </c>
      <c r="C179" s="1" t="s">
        <v>59</v>
      </c>
      <c r="D179" s="1" t="s">
        <v>60</v>
      </c>
      <c r="E179" s="1" t="s">
        <v>848</v>
      </c>
      <c r="F179" s="1" t="s">
        <v>2304</v>
      </c>
      <c r="G179" s="20" t="s">
        <v>2305</v>
      </c>
      <c r="H179" s="1" t="s">
        <v>2306</v>
      </c>
      <c r="I179" s="1" t="s">
        <v>2307</v>
      </c>
      <c r="J179" s="1" t="s">
        <v>2308</v>
      </c>
      <c r="K179" s="1" t="s">
        <v>2309</v>
      </c>
      <c r="L179" s="1" t="s">
        <v>2310</v>
      </c>
      <c r="M179" s="20" t="n">
        <v>1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3" t="n">
        <v>0</v>
      </c>
      <c r="AA179" s="1" t="n">
        <v>1</v>
      </c>
      <c r="AB179" s="1" t="n">
        <v>25</v>
      </c>
      <c r="AC179" s="1" t="n">
        <v>1</v>
      </c>
      <c r="AD179" s="1" t="n">
        <v>30</v>
      </c>
      <c r="AE179" s="1" t="n">
        <v>2</v>
      </c>
      <c r="AF179" s="1" t="n">
        <v>60</v>
      </c>
      <c r="AG179" s="1" t="n">
        <v>2</v>
      </c>
      <c r="AH179" s="1" t="n">
        <v>41</v>
      </c>
      <c r="AI179" s="1" t="n">
        <v>0</v>
      </c>
      <c r="AJ179" s="1" t="n">
        <v>0</v>
      </c>
      <c r="AK179" s="1" t="n">
        <v>6</v>
      </c>
      <c r="AL179" s="4" t="n">
        <v>156</v>
      </c>
      <c r="AM179" s="21" t="n">
        <v>469739</v>
      </c>
      <c r="AN179" s="21" t="n">
        <v>127679</v>
      </c>
      <c r="AO179" s="21" t="n">
        <v>0</v>
      </c>
      <c r="AP179" s="21" t="n">
        <v>0</v>
      </c>
      <c r="AQ179" s="21" t="n">
        <v>11245</v>
      </c>
      <c r="AR179" s="21" t="n">
        <v>0</v>
      </c>
      <c r="AS179" s="22" t="n">
        <v>0</v>
      </c>
      <c r="AU179" s="22" t="n">
        <v>0</v>
      </c>
      <c r="AW179" s="22" t="n">
        <v>0</v>
      </c>
      <c r="AY179" s="21" t="n">
        <v>13.5</v>
      </c>
      <c r="AZ179" s="21" t="n">
        <v>12.125</v>
      </c>
      <c r="BA179" s="21" t="n">
        <v>25.625</v>
      </c>
      <c r="BB179" s="1" t="s">
        <v>2311</v>
      </c>
      <c r="BC179" s="22" t="n">
        <v>2</v>
      </c>
      <c r="BD179" s="1" t="s">
        <v>2312</v>
      </c>
      <c r="BE179" s="22" t="n">
        <v>11</v>
      </c>
      <c r="BG179" s="22"/>
      <c r="BH179" s="21" t="n">
        <v>1330.08</v>
      </c>
      <c r="BI179" s="21" t="n">
        <v>819</v>
      </c>
      <c r="BJ179" s="23" t="s">
        <v>173</v>
      </c>
    </row>
    <row r="180" s="1" customFormat="true" ht="122.35" hidden="true" customHeight="false" outlineLevel="0" collapsed="false">
      <c r="A180" s="1" t="s">
        <v>2313</v>
      </c>
      <c r="B180" s="1" t="s">
        <v>2314</v>
      </c>
      <c r="C180" s="1" t="s">
        <v>59</v>
      </c>
      <c r="D180" s="1" t="s">
        <v>60</v>
      </c>
      <c r="E180" s="1" t="s">
        <v>848</v>
      </c>
      <c r="F180" s="1" t="s">
        <v>2315</v>
      </c>
      <c r="G180" s="20" t="s">
        <v>2316</v>
      </c>
      <c r="H180" s="1" t="s">
        <v>2317</v>
      </c>
      <c r="I180" s="1" t="s">
        <v>2318</v>
      </c>
      <c r="J180" s="1" t="s">
        <v>2319</v>
      </c>
      <c r="K180" s="1" t="s">
        <v>2320</v>
      </c>
      <c r="L180" s="1" t="s">
        <v>2321</v>
      </c>
      <c r="M180" s="20" t="n">
        <v>1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1</v>
      </c>
      <c r="Z180" s="3" t="n">
        <v>28</v>
      </c>
      <c r="AA180" s="1" t="n">
        <v>2</v>
      </c>
      <c r="AB180" s="1" t="n">
        <v>54</v>
      </c>
      <c r="AC180" s="1" t="n">
        <v>3</v>
      </c>
      <c r="AD180" s="1" t="n">
        <v>86</v>
      </c>
      <c r="AE180" s="1" t="n">
        <v>2</v>
      </c>
      <c r="AF180" s="1" t="n">
        <v>65</v>
      </c>
      <c r="AG180" s="1" t="n">
        <v>2</v>
      </c>
      <c r="AH180" s="1" t="n">
        <v>61</v>
      </c>
      <c r="AI180" s="1" t="n">
        <v>0</v>
      </c>
      <c r="AJ180" s="1" t="n">
        <v>0</v>
      </c>
      <c r="AK180" s="1" t="n">
        <v>10</v>
      </c>
      <c r="AL180" s="4" t="n">
        <v>294</v>
      </c>
      <c r="AM180" s="21" t="n">
        <v>788792</v>
      </c>
      <c r="AN180" s="21" t="n">
        <v>238527</v>
      </c>
      <c r="AO180" s="21" t="n">
        <v>34729</v>
      </c>
      <c r="AP180" s="21" t="n">
        <v>2973</v>
      </c>
      <c r="AQ180" s="21" t="n">
        <v>21331</v>
      </c>
      <c r="AR180" s="21" t="n">
        <v>0</v>
      </c>
      <c r="AS180" s="22" t="n">
        <v>1</v>
      </c>
      <c r="AT180" s="1" t="s">
        <v>2322</v>
      </c>
      <c r="AU180" s="22" t="n">
        <v>1</v>
      </c>
      <c r="AV180" s="1" t="s">
        <v>2323</v>
      </c>
      <c r="AW180" s="22" t="n">
        <v>1</v>
      </c>
      <c r="AX180" s="1" t="s">
        <v>2324</v>
      </c>
      <c r="AY180" s="21" t="n">
        <v>22</v>
      </c>
      <c r="AZ180" s="21" t="n">
        <v>17</v>
      </c>
      <c r="BA180" s="21" t="n">
        <v>39</v>
      </c>
      <c r="BB180" s="1" t="s">
        <v>2325</v>
      </c>
      <c r="BC180" s="22" t="n">
        <v>8</v>
      </c>
      <c r="BD180" s="27" t="s">
        <v>2326</v>
      </c>
      <c r="BE180" s="22" t="n">
        <v>18</v>
      </c>
      <c r="BF180" s="27" t="s">
        <v>2327</v>
      </c>
      <c r="BG180" s="22" t="n">
        <v>2</v>
      </c>
      <c r="BH180" s="21" t="n">
        <v>1425</v>
      </c>
      <c r="BI180" s="21" t="n">
        <v>798</v>
      </c>
      <c r="BJ180" s="23" t="s">
        <v>409</v>
      </c>
    </row>
    <row r="181" s="1" customFormat="true" ht="28.35" hidden="true" customHeight="false" outlineLevel="0" collapsed="false">
      <c r="A181" s="1" t="s">
        <v>2328</v>
      </c>
      <c r="B181" s="1" t="s">
        <v>2329</v>
      </c>
      <c r="C181" s="1" t="s">
        <v>59</v>
      </c>
      <c r="D181" s="1" t="s">
        <v>60</v>
      </c>
      <c r="E181" s="1" t="s">
        <v>235</v>
      </c>
      <c r="F181" s="1" t="s">
        <v>2330</v>
      </c>
      <c r="G181" s="20" t="s">
        <v>2331</v>
      </c>
      <c r="H181" s="1" t="s">
        <v>2332</v>
      </c>
      <c r="I181" s="1" t="s">
        <v>2333</v>
      </c>
      <c r="J181" s="1" t="s">
        <v>2334</v>
      </c>
      <c r="K181" s="1" t="s">
        <v>2335</v>
      </c>
      <c r="L181" s="1" t="s">
        <v>2336</v>
      </c>
      <c r="M181" s="20" t="n">
        <v>2</v>
      </c>
      <c r="N181" s="27" t="s">
        <v>2337</v>
      </c>
      <c r="O181" s="27" t="s">
        <v>2338</v>
      </c>
      <c r="U181" s="1" t="n">
        <v>1</v>
      </c>
      <c r="V181" s="1" t="n">
        <v>0</v>
      </c>
      <c r="W181" s="1" t="n">
        <v>0</v>
      </c>
      <c r="X181" s="1" t="n">
        <v>0</v>
      </c>
      <c r="Y181" s="1" t="n">
        <v>4</v>
      </c>
      <c r="Z181" s="3" t="n">
        <v>105</v>
      </c>
      <c r="AA181" s="1" t="n">
        <v>2</v>
      </c>
      <c r="AB181" s="1" t="n">
        <v>61</v>
      </c>
      <c r="AC181" s="1" t="n">
        <v>3</v>
      </c>
      <c r="AD181" s="1" t="n">
        <v>88</v>
      </c>
      <c r="AE181" s="1" t="n">
        <v>2</v>
      </c>
      <c r="AF181" s="1" t="n">
        <v>60</v>
      </c>
      <c r="AG181" s="1" t="n">
        <v>2</v>
      </c>
      <c r="AH181" s="1" t="n">
        <v>64</v>
      </c>
      <c r="AI181" s="1" t="n">
        <v>1</v>
      </c>
      <c r="AJ181" s="1" t="n">
        <v>22</v>
      </c>
      <c r="AK181" s="1" t="n">
        <v>14</v>
      </c>
      <c r="AL181" s="4" t="n">
        <v>400</v>
      </c>
      <c r="AM181" s="21" t="n">
        <v>925241</v>
      </c>
      <c r="AN181" s="21" t="n">
        <v>304929</v>
      </c>
      <c r="AO181" s="21" t="n">
        <v>35430</v>
      </c>
      <c r="AP181" s="21" t="n">
        <v>4280</v>
      </c>
      <c r="AQ181" s="21" t="n">
        <v>15695</v>
      </c>
      <c r="AR181" s="21" t="n">
        <v>90</v>
      </c>
      <c r="AS181" s="22" t="n">
        <v>2</v>
      </c>
      <c r="AT181" s="1" t="s">
        <v>2339</v>
      </c>
      <c r="AU181" s="22" t="n">
        <v>0</v>
      </c>
      <c r="AW181" s="22" t="n">
        <v>1</v>
      </c>
      <c r="AX181" s="1" t="s">
        <v>2340</v>
      </c>
      <c r="AY181" s="21" t="n">
        <v>25.5</v>
      </c>
      <c r="AZ181" s="21" t="n">
        <v>28.5</v>
      </c>
      <c r="BA181" s="21" t="n">
        <v>54</v>
      </c>
      <c r="BB181" s="1" t="s">
        <v>2341</v>
      </c>
      <c r="BC181" s="22" t="n">
        <v>1</v>
      </c>
      <c r="BD181" s="1" t="s">
        <v>2342</v>
      </c>
      <c r="BE181" s="22" t="n">
        <v>20</v>
      </c>
      <c r="BF181" s="1" t="s">
        <v>2343</v>
      </c>
      <c r="BG181" s="22" t="n">
        <v>23</v>
      </c>
      <c r="BH181" s="21" t="n">
        <v>1255.35</v>
      </c>
      <c r="BI181" s="21" t="n">
        <v>733.18</v>
      </c>
      <c r="BJ181" s="23" t="s">
        <v>486</v>
      </c>
    </row>
    <row r="182" s="1" customFormat="true" ht="14.25" hidden="true" customHeight="false" outlineLevel="0" collapsed="false">
      <c r="A182" s="1" t="s">
        <v>2344</v>
      </c>
      <c r="B182" s="1" t="s">
        <v>2345</v>
      </c>
      <c r="C182" s="1" t="s">
        <v>59</v>
      </c>
      <c r="D182" s="1" t="s">
        <v>60</v>
      </c>
      <c r="E182" s="1" t="s">
        <v>204</v>
      </c>
      <c r="F182" s="1" t="s">
        <v>2346</v>
      </c>
      <c r="G182" s="20" t="s">
        <v>2347</v>
      </c>
      <c r="H182" s="1" t="s">
        <v>2348</v>
      </c>
      <c r="I182" s="1" t="s">
        <v>2349</v>
      </c>
      <c r="J182" s="1" t="s">
        <v>2350</v>
      </c>
      <c r="K182" s="1" t="s">
        <v>2351</v>
      </c>
      <c r="L182" s="1" t="s">
        <v>2352</v>
      </c>
      <c r="M182" s="20" t="n">
        <v>1</v>
      </c>
      <c r="U182" s="1" t="n">
        <v>0</v>
      </c>
      <c r="V182" s="1" t="n">
        <v>1</v>
      </c>
      <c r="W182" s="1" t="n">
        <v>0</v>
      </c>
      <c r="X182" s="1" t="n">
        <v>1</v>
      </c>
      <c r="Y182" s="1" t="n">
        <v>2</v>
      </c>
      <c r="Z182" s="3" t="n">
        <v>49</v>
      </c>
      <c r="AA182" s="1" t="n">
        <v>1</v>
      </c>
      <c r="AB182" s="1" t="n">
        <v>32</v>
      </c>
      <c r="AC182" s="1" t="n">
        <v>2</v>
      </c>
      <c r="AD182" s="1" t="n">
        <v>67</v>
      </c>
      <c r="AE182" s="1" t="n">
        <v>1</v>
      </c>
      <c r="AF182" s="1" t="n">
        <v>31</v>
      </c>
      <c r="AG182" s="1" t="n">
        <v>1</v>
      </c>
      <c r="AH182" s="1" t="n">
        <v>27</v>
      </c>
      <c r="AI182" s="1" t="n">
        <v>0</v>
      </c>
      <c r="AJ182" s="1" t="n">
        <v>0</v>
      </c>
      <c r="AK182" s="1" t="n">
        <v>7</v>
      </c>
      <c r="AL182" s="4" t="n">
        <v>206</v>
      </c>
      <c r="AM182" s="21" t="n">
        <v>503546</v>
      </c>
      <c r="AN182" s="21" t="n">
        <v>160947</v>
      </c>
      <c r="AO182" s="21" t="n">
        <v>135</v>
      </c>
      <c r="AP182" s="21" t="n">
        <v>1000</v>
      </c>
      <c r="AQ182" s="21" t="n">
        <v>7063</v>
      </c>
      <c r="AR182" s="21" t="n">
        <v>0</v>
      </c>
      <c r="AS182" s="22" t="n">
        <v>1</v>
      </c>
      <c r="AT182" s="1" t="s">
        <v>2353</v>
      </c>
      <c r="AU182" s="22" t="n">
        <v>0</v>
      </c>
      <c r="AW182" s="22" t="n">
        <v>0</v>
      </c>
      <c r="AY182" s="21" t="n">
        <v>13</v>
      </c>
      <c r="AZ182" s="21" t="n">
        <v>16.5</v>
      </c>
      <c r="BA182" s="21" t="n">
        <v>29.5</v>
      </c>
      <c r="BB182" s="1" t="s">
        <v>2354</v>
      </c>
      <c r="BC182" s="22" t="n">
        <v>5</v>
      </c>
      <c r="BD182" s="1" t="s">
        <v>2355</v>
      </c>
      <c r="BE182" s="22" t="n">
        <v>6</v>
      </c>
      <c r="BG182" s="22"/>
      <c r="BH182" s="21" t="n">
        <v>1211.28</v>
      </c>
      <c r="BI182" s="21" t="n">
        <v>1163.37</v>
      </c>
      <c r="BJ182" s="23" t="s">
        <v>71</v>
      </c>
    </row>
    <row r="183" s="1" customFormat="true" ht="14.25" hidden="true" customHeight="false" outlineLevel="0" collapsed="false">
      <c r="A183" s="1" t="s">
        <v>2356</v>
      </c>
      <c r="B183" s="1" t="s">
        <v>2357</v>
      </c>
      <c r="C183" s="1" t="s">
        <v>59</v>
      </c>
      <c r="D183" s="1" t="s">
        <v>60</v>
      </c>
      <c r="E183" s="1" t="s">
        <v>757</v>
      </c>
      <c r="F183" s="1" t="s">
        <v>2358</v>
      </c>
      <c r="G183" s="20" t="s">
        <v>2359</v>
      </c>
      <c r="H183" s="1" t="s">
        <v>2360</v>
      </c>
      <c r="I183" s="1" t="s">
        <v>2361</v>
      </c>
      <c r="J183" s="1" t="s">
        <v>2362</v>
      </c>
      <c r="K183" s="1" t="s">
        <v>2363</v>
      </c>
      <c r="L183" s="1" t="s">
        <v>2364</v>
      </c>
      <c r="M183" s="20" t="n">
        <v>1</v>
      </c>
      <c r="N183" s="1" t="s">
        <v>2365</v>
      </c>
      <c r="U183" s="1" t="n">
        <v>2</v>
      </c>
      <c r="V183" s="1" t="n">
        <v>0</v>
      </c>
      <c r="W183" s="1" t="n">
        <v>0</v>
      </c>
      <c r="X183" s="1" t="n">
        <v>0</v>
      </c>
      <c r="Y183" s="1" t="n">
        <v>2</v>
      </c>
      <c r="Z183" s="3" t="n">
        <v>47</v>
      </c>
      <c r="AA183" s="1" t="n">
        <v>1</v>
      </c>
      <c r="AB183" s="1" t="n">
        <v>31</v>
      </c>
      <c r="AC183" s="1" t="n">
        <v>1</v>
      </c>
      <c r="AD183" s="1" t="n">
        <v>33</v>
      </c>
      <c r="AE183" s="1" t="n">
        <v>2</v>
      </c>
      <c r="AF183" s="1" t="n">
        <v>58</v>
      </c>
      <c r="AG183" s="1" t="n">
        <v>2</v>
      </c>
      <c r="AH183" s="1" t="n">
        <v>41</v>
      </c>
      <c r="AI183" s="1" t="n">
        <v>0</v>
      </c>
      <c r="AJ183" s="1" t="n">
        <v>0</v>
      </c>
      <c r="AK183" s="1" t="n">
        <v>8</v>
      </c>
      <c r="AL183" s="4" t="n">
        <v>210</v>
      </c>
      <c r="AM183" s="21" t="n">
        <v>552148</v>
      </c>
      <c r="AN183" s="21" t="n">
        <v>157462</v>
      </c>
      <c r="AO183" s="21" t="n">
        <v>0</v>
      </c>
      <c r="AP183" s="21" t="n">
        <v>0</v>
      </c>
      <c r="AQ183" s="21" t="n">
        <v>2912</v>
      </c>
      <c r="AR183" s="21" t="n">
        <v>0</v>
      </c>
      <c r="AS183" s="22" t="n">
        <v>0</v>
      </c>
      <c r="AU183" s="22" t="n">
        <v>0</v>
      </c>
      <c r="AW183" s="22" t="n">
        <v>0</v>
      </c>
      <c r="AY183" s="21" t="n">
        <v>13.5</v>
      </c>
      <c r="AZ183" s="21" t="n">
        <v>19</v>
      </c>
      <c r="BA183" s="21" t="n">
        <v>32.5</v>
      </c>
      <c r="BB183" s="1" t="s">
        <v>2366</v>
      </c>
      <c r="BC183" s="22" t="n">
        <v>11</v>
      </c>
      <c r="BD183" s="1" t="s">
        <v>2367</v>
      </c>
      <c r="BE183" s="22" t="n">
        <v>9</v>
      </c>
      <c r="BF183" s="1" t="s">
        <v>1461</v>
      </c>
      <c r="BG183" s="22" t="n">
        <v>9</v>
      </c>
      <c r="BH183" s="21" t="n">
        <v>1208</v>
      </c>
      <c r="BI183" s="21" t="n">
        <v>833</v>
      </c>
      <c r="BJ183" s="23" t="s">
        <v>101</v>
      </c>
    </row>
    <row r="184" s="1" customFormat="true" ht="14.25" hidden="true" customHeight="false" outlineLevel="0" collapsed="false">
      <c r="A184" s="1" t="s">
        <v>2368</v>
      </c>
      <c r="B184" s="1" t="s">
        <v>2369</v>
      </c>
      <c r="C184" s="1" t="s">
        <v>59</v>
      </c>
      <c r="D184" s="1" t="s">
        <v>60</v>
      </c>
      <c r="E184" s="1" t="s">
        <v>204</v>
      </c>
      <c r="F184" s="1" t="s">
        <v>2370</v>
      </c>
      <c r="G184" s="20" t="s">
        <v>2371</v>
      </c>
      <c r="H184" s="1" t="s">
        <v>2372</v>
      </c>
      <c r="I184" s="1" t="s">
        <v>2373</v>
      </c>
      <c r="J184" s="1" t="s">
        <v>2374</v>
      </c>
      <c r="K184" s="1" t="s">
        <v>2375</v>
      </c>
      <c r="L184" s="1" t="s">
        <v>2376</v>
      </c>
      <c r="M184" s="20" t="n">
        <v>1</v>
      </c>
      <c r="N184" s="1" t="s">
        <v>2377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1</v>
      </c>
      <c r="Z184" s="3" t="n">
        <v>26</v>
      </c>
      <c r="AA184" s="1" t="n">
        <v>3</v>
      </c>
      <c r="AB184" s="1" t="n">
        <v>81</v>
      </c>
      <c r="AC184" s="1" t="n">
        <v>1</v>
      </c>
      <c r="AD184" s="1" t="n">
        <v>35</v>
      </c>
      <c r="AE184" s="1" t="n">
        <v>2</v>
      </c>
      <c r="AF184" s="1" t="n">
        <v>64</v>
      </c>
      <c r="AG184" s="1" t="n">
        <v>1</v>
      </c>
      <c r="AH184" s="1" t="n">
        <v>32</v>
      </c>
      <c r="AI184" s="1" t="n">
        <v>0</v>
      </c>
      <c r="AJ184" s="1" t="n">
        <v>0</v>
      </c>
      <c r="AK184" s="1" t="n">
        <v>8</v>
      </c>
      <c r="AL184" s="4" t="n">
        <v>238</v>
      </c>
      <c r="AM184" s="21" t="n">
        <v>639143</v>
      </c>
      <c r="AN184" s="21" t="n">
        <v>178305</v>
      </c>
      <c r="AO184" s="21" t="n">
        <v>0</v>
      </c>
      <c r="AP184" s="21" t="n">
        <v>0</v>
      </c>
      <c r="AQ184" s="21" t="n">
        <v>11339.91</v>
      </c>
      <c r="AR184" s="21" t="n">
        <v>0</v>
      </c>
      <c r="AS184" s="22" t="n">
        <v>2</v>
      </c>
      <c r="AT184" s="1" t="s">
        <v>2378</v>
      </c>
      <c r="AU184" s="22" t="n">
        <v>3</v>
      </c>
      <c r="AV184" s="1" t="s">
        <v>2379</v>
      </c>
      <c r="AW184" s="22" t="n">
        <v>0</v>
      </c>
      <c r="AY184" s="21" t="n">
        <v>17</v>
      </c>
      <c r="AZ184" s="21" t="n">
        <v>17.5</v>
      </c>
      <c r="BA184" s="21" t="n">
        <v>34.5</v>
      </c>
      <c r="BB184" s="1" t="s">
        <v>321</v>
      </c>
      <c r="BC184" s="22" t="n">
        <v>33</v>
      </c>
      <c r="BD184" s="1" t="s">
        <v>2380</v>
      </c>
      <c r="BE184" s="22" t="n">
        <v>33</v>
      </c>
      <c r="BF184" s="1" t="s">
        <v>2381</v>
      </c>
      <c r="BG184" s="22" t="n">
        <v>33</v>
      </c>
      <c r="BH184" s="21" t="n">
        <v>1277.7</v>
      </c>
      <c r="BI184" s="21" t="n">
        <v>837.73</v>
      </c>
      <c r="BJ184" s="23" t="s">
        <v>71</v>
      </c>
    </row>
    <row r="185" s="1" customFormat="true" ht="14.25" hidden="true" customHeight="false" outlineLevel="0" collapsed="false">
      <c r="A185" s="1" t="s">
        <v>2382</v>
      </c>
      <c r="B185" s="1" t="s">
        <v>2383</v>
      </c>
      <c r="C185" s="1" t="s">
        <v>59</v>
      </c>
      <c r="D185" s="1" t="s">
        <v>60</v>
      </c>
      <c r="E185" s="1" t="s">
        <v>204</v>
      </c>
      <c r="F185" s="1" t="s">
        <v>2384</v>
      </c>
      <c r="G185" s="20" t="n">
        <v>176749996</v>
      </c>
      <c r="H185" s="1" t="s">
        <v>2385</v>
      </c>
      <c r="I185" s="1" t="s">
        <v>2386</v>
      </c>
      <c r="J185" s="1" t="s">
        <v>2387</v>
      </c>
      <c r="K185" s="1" t="s">
        <v>2388</v>
      </c>
      <c r="L185" s="1" t="s">
        <v>2389</v>
      </c>
      <c r="M185" s="20" t="n">
        <v>1</v>
      </c>
      <c r="U185" s="1" t="n">
        <v>1</v>
      </c>
      <c r="V185" s="1" t="n">
        <v>0</v>
      </c>
      <c r="W185" s="1" t="n">
        <v>0</v>
      </c>
      <c r="X185" s="1" t="n">
        <v>1</v>
      </c>
      <c r="Y185" s="1" t="n">
        <v>1</v>
      </c>
      <c r="Z185" s="3" t="n">
        <v>26</v>
      </c>
      <c r="AA185" s="1" t="n">
        <v>2</v>
      </c>
      <c r="AB185" s="1" t="n">
        <v>54</v>
      </c>
      <c r="AC185" s="1" t="n">
        <v>2</v>
      </c>
      <c r="AD185" s="1" t="n">
        <v>65</v>
      </c>
      <c r="AE185" s="1" t="n">
        <v>1</v>
      </c>
      <c r="AF185" s="1" t="n">
        <v>33</v>
      </c>
      <c r="AG185" s="1" t="n">
        <v>2</v>
      </c>
      <c r="AH185" s="1" t="n">
        <v>54</v>
      </c>
      <c r="AI185" s="1" t="n">
        <v>0</v>
      </c>
      <c r="AJ185" s="1" t="n">
        <v>0</v>
      </c>
      <c r="AK185" s="1" t="n">
        <v>8</v>
      </c>
      <c r="AL185" s="4" t="n">
        <v>232</v>
      </c>
      <c r="AM185" s="21" t="n">
        <v>743946</v>
      </c>
      <c r="AN185" s="21" t="n">
        <v>175799</v>
      </c>
      <c r="AO185" s="21"/>
      <c r="AP185" s="21" t="n">
        <v>1046</v>
      </c>
      <c r="AQ185" s="21" t="n">
        <v>10026</v>
      </c>
      <c r="AR185" s="21" t="n">
        <v>0</v>
      </c>
      <c r="AS185" s="22" t="n">
        <v>0</v>
      </c>
      <c r="AU185" s="22" t="n">
        <v>2</v>
      </c>
      <c r="AV185" s="1" t="s">
        <v>2390</v>
      </c>
      <c r="AW185" s="22" t="n">
        <v>0</v>
      </c>
      <c r="AY185" s="21" t="n">
        <v>17.5</v>
      </c>
      <c r="AZ185" s="21" t="n">
        <v>15</v>
      </c>
      <c r="BA185" s="21" t="n">
        <v>32.5</v>
      </c>
      <c r="BB185" s="1" t="s">
        <v>989</v>
      </c>
      <c r="BC185" s="22" t="n">
        <v>15</v>
      </c>
      <c r="BD185" s="1" t="s">
        <v>2391</v>
      </c>
      <c r="BE185" s="22" t="n">
        <v>4</v>
      </c>
      <c r="BF185" s="1" t="s">
        <v>2392</v>
      </c>
      <c r="BG185" s="22" t="n">
        <v>8</v>
      </c>
      <c r="BH185" s="21" t="n">
        <v>1376</v>
      </c>
      <c r="BI185" s="21" t="n">
        <v>907</v>
      </c>
      <c r="BJ185" s="23" t="s">
        <v>186</v>
      </c>
    </row>
    <row r="186" s="1" customFormat="true" ht="41.75" hidden="true" customHeight="false" outlineLevel="0" collapsed="false">
      <c r="A186" s="1" t="s">
        <v>2393</v>
      </c>
      <c r="B186" s="1" t="s">
        <v>2394</v>
      </c>
      <c r="C186" s="1" t="s">
        <v>59</v>
      </c>
      <c r="D186" s="1" t="s">
        <v>60</v>
      </c>
      <c r="E186" s="1" t="s">
        <v>1348</v>
      </c>
      <c r="F186" s="1" t="s">
        <v>2395</v>
      </c>
      <c r="G186" s="20" t="s">
        <v>2396</v>
      </c>
      <c r="H186" s="1" t="s">
        <v>2397</v>
      </c>
      <c r="I186" s="1" t="s">
        <v>2398</v>
      </c>
      <c r="J186" s="1" t="s">
        <v>2399</v>
      </c>
      <c r="K186" s="1" t="s">
        <v>2400</v>
      </c>
      <c r="L186" s="27" t="s">
        <v>2401</v>
      </c>
      <c r="M186" s="20" t="n">
        <v>3</v>
      </c>
      <c r="N186" s="1" t="s">
        <v>2402</v>
      </c>
      <c r="O186" s="1" t="s">
        <v>2403</v>
      </c>
      <c r="P186" s="1" t="s">
        <v>2404</v>
      </c>
      <c r="U186" s="1" t="n">
        <v>2</v>
      </c>
      <c r="V186" s="1" t="n">
        <v>0</v>
      </c>
      <c r="W186" s="1" t="n">
        <v>1</v>
      </c>
      <c r="X186" s="1" t="n">
        <v>3</v>
      </c>
      <c r="Y186" s="1" t="n">
        <v>2</v>
      </c>
      <c r="Z186" s="3" t="n">
        <v>49</v>
      </c>
      <c r="AA186" s="1" t="n">
        <v>2</v>
      </c>
      <c r="AB186" s="1" t="n">
        <v>50</v>
      </c>
      <c r="AC186" s="1" t="n">
        <v>2</v>
      </c>
      <c r="AD186" s="1" t="n">
        <v>60</v>
      </c>
      <c r="AE186" s="1" t="n">
        <v>2</v>
      </c>
      <c r="AF186" s="1" t="n">
        <v>58</v>
      </c>
      <c r="AG186" s="1" t="n">
        <v>2</v>
      </c>
      <c r="AH186" s="1" t="n">
        <v>62</v>
      </c>
      <c r="AI186" s="1" t="n">
        <v>0</v>
      </c>
      <c r="AJ186" s="1" t="n">
        <v>0</v>
      </c>
      <c r="AK186" s="1" t="n">
        <v>10</v>
      </c>
      <c r="AL186" s="4" t="n">
        <v>279</v>
      </c>
      <c r="AM186" s="21" t="n">
        <v>696131</v>
      </c>
      <c r="AN186" s="21" t="n">
        <v>242000</v>
      </c>
      <c r="AO186" s="21" t="n">
        <v>0</v>
      </c>
      <c r="AP186" s="21" t="n">
        <v>0</v>
      </c>
      <c r="AQ186" s="21" t="n">
        <v>10275</v>
      </c>
      <c r="AR186" s="21" t="n">
        <v>0</v>
      </c>
      <c r="AS186" s="22" t="n">
        <v>0</v>
      </c>
      <c r="AU186" s="22" t="n">
        <v>0</v>
      </c>
      <c r="AW186" s="22" t="n">
        <v>0</v>
      </c>
      <c r="AY186" s="21" t="n">
        <v>19.5</v>
      </c>
      <c r="AZ186" s="21" t="n">
        <v>20.06</v>
      </c>
      <c r="BA186" s="21" t="n">
        <v>39.56</v>
      </c>
      <c r="BB186" s="1" t="s">
        <v>2405</v>
      </c>
      <c r="BC186" s="22" t="n">
        <v>14</v>
      </c>
      <c r="BD186" s="1" t="s">
        <v>2406</v>
      </c>
      <c r="BE186" s="22" t="n">
        <v>1</v>
      </c>
      <c r="BF186" s="1" t="s">
        <v>2407</v>
      </c>
      <c r="BG186" s="22" t="n">
        <v>1</v>
      </c>
      <c r="BH186" s="21" t="n">
        <v>1469.84594594595</v>
      </c>
      <c r="BI186" s="21" t="n">
        <v>765.16</v>
      </c>
      <c r="BJ186" s="23" t="s">
        <v>71</v>
      </c>
    </row>
    <row r="187" s="1" customFormat="true" ht="14.25" hidden="true" customHeight="false" outlineLevel="0" collapsed="false">
      <c r="A187" s="1" t="s">
        <v>2408</v>
      </c>
      <c r="B187" s="1" t="s">
        <v>2409</v>
      </c>
      <c r="C187" s="1" t="s">
        <v>59</v>
      </c>
      <c r="D187" s="1" t="s">
        <v>60</v>
      </c>
      <c r="E187" s="1" t="s">
        <v>312</v>
      </c>
      <c r="F187" s="1" t="s">
        <v>2410</v>
      </c>
      <c r="G187" s="20" t="s">
        <v>2411</v>
      </c>
      <c r="H187" s="1" t="s">
        <v>2412</v>
      </c>
      <c r="I187" s="1" t="s">
        <v>2413</v>
      </c>
      <c r="J187" s="1" t="s">
        <v>2414</v>
      </c>
      <c r="K187" s="1" t="s">
        <v>2415</v>
      </c>
      <c r="L187" s="1" t="s">
        <v>2416</v>
      </c>
      <c r="M187" s="20" t="n">
        <v>2</v>
      </c>
      <c r="N187" s="1" t="s">
        <v>2417</v>
      </c>
      <c r="O187" s="1" t="s">
        <v>2417</v>
      </c>
      <c r="U187" s="1" t="n">
        <v>0</v>
      </c>
      <c r="V187" s="1" t="n">
        <v>1</v>
      </c>
      <c r="W187" s="1" t="n">
        <v>3</v>
      </c>
      <c r="X187" s="1" t="n">
        <v>1</v>
      </c>
      <c r="Y187" s="1" t="n">
        <v>0</v>
      </c>
      <c r="Z187" s="3" t="n">
        <v>0</v>
      </c>
      <c r="AA187" s="1" t="n">
        <v>1</v>
      </c>
      <c r="AB187" s="1" t="n">
        <v>24</v>
      </c>
      <c r="AC187" s="1" t="n">
        <v>2</v>
      </c>
      <c r="AD187" s="1" t="n">
        <v>60</v>
      </c>
      <c r="AE187" s="1" t="n">
        <v>2</v>
      </c>
      <c r="AF187" s="1" t="n">
        <v>62</v>
      </c>
      <c r="AG187" s="1" t="n">
        <v>2</v>
      </c>
      <c r="AH187" s="1" t="n">
        <v>63</v>
      </c>
      <c r="AI187" s="1" t="n">
        <v>0</v>
      </c>
      <c r="AJ187" s="1" t="n">
        <v>0</v>
      </c>
      <c r="AK187" s="1" t="n">
        <v>7</v>
      </c>
      <c r="AL187" s="4" t="n">
        <v>209</v>
      </c>
      <c r="AM187" s="21" t="n">
        <v>605908</v>
      </c>
      <c r="AN187" s="21" t="n">
        <v>171075</v>
      </c>
      <c r="AO187" s="21" t="n">
        <v>7857</v>
      </c>
      <c r="AP187" s="21" t="n">
        <v>800</v>
      </c>
      <c r="AQ187" s="21" t="n">
        <v>11185</v>
      </c>
      <c r="AR187" s="21" t="n">
        <v>0</v>
      </c>
      <c r="AS187" s="22" t="n">
        <v>1</v>
      </c>
      <c r="AT187" s="1" t="s">
        <v>2418</v>
      </c>
      <c r="AU187" s="22" t="n">
        <v>1</v>
      </c>
      <c r="AV187" s="1" t="s">
        <v>292</v>
      </c>
      <c r="AW187" s="22" t="n">
        <v>0</v>
      </c>
      <c r="AY187" s="21" t="n">
        <v>18</v>
      </c>
      <c r="AZ187" s="21" t="n">
        <v>14.75</v>
      </c>
      <c r="BA187" s="21" t="n">
        <v>32.75</v>
      </c>
      <c r="BB187" s="1" t="s">
        <v>2419</v>
      </c>
      <c r="BC187" s="22" t="n">
        <v>18</v>
      </c>
      <c r="BD187" s="1" t="s">
        <v>2420</v>
      </c>
      <c r="BE187" s="22" t="n">
        <v>34</v>
      </c>
      <c r="BF187" s="1" t="s">
        <v>2421</v>
      </c>
      <c r="BG187" s="22" t="n">
        <v>1</v>
      </c>
      <c r="BH187" s="21" t="n">
        <v>1345.62</v>
      </c>
      <c r="BI187" s="21" t="n">
        <v>876.38</v>
      </c>
      <c r="BJ187" s="23" t="s">
        <v>173</v>
      </c>
    </row>
    <row r="188" s="1" customFormat="true" ht="14.25" hidden="true" customHeight="false" outlineLevel="0" collapsed="false">
      <c r="A188" s="1" t="s">
        <v>2422</v>
      </c>
      <c r="B188" s="1" t="s">
        <v>2423</v>
      </c>
      <c r="C188" s="1" t="s">
        <v>59</v>
      </c>
      <c r="D188" s="1" t="s">
        <v>60</v>
      </c>
      <c r="E188" s="1" t="s">
        <v>312</v>
      </c>
      <c r="F188" s="1" t="s">
        <v>2424</v>
      </c>
      <c r="G188" s="20" t="s">
        <v>2425</v>
      </c>
      <c r="H188" s="1" t="s">
        <v>2426</v>
      </c>
      <c r="I188" s="1" t="s">
        <v>2427</v>
      </c>
      <c r="J188" s="1" t="s">
        <v>2428</v>
      </c>
      <c r="K188" s="1" t="s">
        <v>2429</v>
      </c>
      <c r="L188" s="1" t="s">
        <v>2430</v>
      </c>
      <c r="M188" s="20" t="n">
        <v>1</v>
      </c>
      <c r="N188" s="1" t="s">
        <v>2431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3" t="n">
        <v>0</v>
      </c>
      <c r="AA188" s="1" t="n">
        <v>2</v>
      </c>
      <c r="AB188" s="1" t="n">
        <v>51</v>
      </c>
      <c r="AC188" s="1" t="n">
        <v>1</v>
      </c>
      <c r="AD188" s="1" t="n">
        <v>29</v>
      </c>
      <c r="AE188" s="1" t="n">
        <v>2</v>
      </c>
      <c r="AF188" s="1" t="n">
        <v>60</v>
      </c>
      <c r="AG188" s="1" t="n">
        <v>1</v>
      </c>
      <c r="AH188" s="1" t="n">
        <v>23</v>
      </c>
      <c r="AI188" s="1" t="n">
        <v>0</v>
      </c>
      <c r="AJ188" s="1" t="n">
        <v>0</v>
      </c>
      <c r="AK188" s="1" t="n">
        <v>6</v>
      </c>
      <c r="AL188" s="4" t="n">
        <v>163</v>
      </c>
      <c r="AM188" s="21" t="n">
        <v>476711</v>
      </c>
      <c r="AN188" s="21" t="n">
        <v>121980</v>
      </c>
      <c r="AO188" s="21" t="n">
        <v>0</v>
      </c>
      <c r="AP188" s="21" t="n">
        <v>0</v>
      </c>
      <c r="AQ188" s="21" t="n">
        <v>18806</v>
      </c>
      <c r="AR188" s="21" t="n">
        <v>90</v>
      </c>
      <c r="AS188" s="22" t="n">
        <v>0</v>
      </c>
      <c r="AU188" s="22" t="n">
        <v>0</v>
      </c>
      <c r="AW188" s="22" t="n">
        <v>0</v>
      </c>
      <c r="AY188" s="21" t="n">
        <v>13.5</v>
      </c>
      <c r="AZ188" s="21" t="n">
        <v>12.5</v>
      </c>
      <c r="BA188" s="21" t="n">
        <v>26</v>
      </c>
      <c r="BB188" s="1" t="s">
        <v>2432</v>
      </c>
      <c r="BC188" s="22" t="n">
        <v>14</v>
      </c>
      <c r="BD188" s="1" t="s">
        <v>2433</v>
      </c>
      <c r="BE188" s="22" t="n">
        <v>2</v>
      </c>
      <c r="BF188" s="1" t="s">
        <v>885</v>
      </c>
      <c r="BG188" s="22" t="n">
        <v>14</v>
      </c>
      <c r="BH188" s="21" t="n">
        <v>1290.77</v>
      </c>
      <c r="BI188" s="21" t="n">
        <v>813.75</v>
      </c>
      <c r="BJ188" s="23" t="s">
        <v>268</v>
      </c>
    </row>
    <row r="189" s="1" customFormat="true" ht="14.25" hidden="true" customHeight="false" outlineLevel="0" collapsed="false">
      <c r="A189" s="1" t="s">
        <v>2434</v>
      </c>
      <c r="B189" s="1" t="s">
        <v>2435</v>
      </c>
      <c r="C189" s="1" t="s">
        <v>59</v>
      </c>
      <c r="D189" s="1" t="s">
        <v>60</v>
      </c>
      <c r="E189" s="1" t="s">
        <v>61</v>
      </c>
      <c r="F189" s="1" t="s">
        <v>2436</v>
      </c>
      <c r="G189" s="20" t="s">
        <v>2437</v>
      </c>
      <c r="H189" s="1" t="s">
        <v>2438</v>
      </c>
      <c r="I189" s="1" t="s">
        <v>2439</v>
      </c>
      <c r="J189" s="1" t="s">
        <v>2440</v>
      </c>
      <c r="K189" s="1" t="s">
        <v>2441</v>
      </c>
      <c r="L189" s="1" t="s">
        <v>2442</v>
      </c>
      <c r="M189" s="20" t="n">
        <v>1</v>
      </c>
      <c r="N189" s="1" t="s">
        <v>2443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3" t="n">
        <v>0</v>
      </c>
      <c r="AA189" s="1" t="n">
        <v>1</v>
      </c>
      <c r="AB189" s="1" t="n">
        <v>25</v>
      </c>
      <c r="AC189" s="1" t="n">
        <v>1</v>
      </c>
      <c r="AD189" s="1" t="n">
        <v>33</v>
      </c>
      <c r="AE189" s="1" t="n">
        <v>1</v>
      </c>
      <c r="AF189" s="1" t="n">
        <v>28</v>
      </c>
      <c r="AG189" s="1" t="n">
        <v>2</v>
      </c>
      <c r="AH189" s="1" t="n">
        <v>52</v>
      </c>
      <c r="AI189" s="1" t="n">
        <v>0</v>
      </c>
      <c r="AJ189" s="1" t="n">
        <v>0</v>
      </c>
      <c r="AK189" s="1" t="n">
        <v>5</v>
      </c>
      <c r="AL189" s="4" t="n">
        <v>138</v>
      </c>
      <c r="AM189" s="21" t="n">
        <v>410449</v>
      </c>
      <c r="AN189" s="21" t="n">
        <v>137804</v>
      </c>
      <c r="AO189" s="21" t="n">
        <v>0</v>
      </c>
      <c r="AP189" s="21" t="n">
        <v>0</v>
      </c>
      <c r="AQ189" s="21" t="n">
        <v>10072</v>
      </c>
      <c r="AR189" s="21" t="n">
        <v>0</v>
      </c>
      <c r="AS189" s="22" t="n">
        <v>0</v>
      </c>
      <c r="AU189" s="22" t="n">
        <v>0</v>
      </c>
      <c r="AW189" s="22" t="n">
        <v>0</v>
      </c>
      <c r="AY189" s="21" t="n">
        <v>11.5</v>
      </c>
      <c r="AZ189" s="21" t="n">
        <v>11.25</v>
      </c>
      <c r="BA189" s="21" t="n">
        <v>22.75</v>
      </c>
      <c r="BB189" s="1" t="s">
        <v>2444</v>
      </c>
      <c r="BC189" s="22" t="n">
        <v>8</v>
      </c>
      <c r="BD189" s="1" t="s">
        <v>2445</v>
      </c>
      <c r="BE189" s="22" t="n">
        <v>1</v>
      </c>
      <c r="BF189" s="1" t="s">
        <v>2241</v>
      </c>
      <c r="BG189" s="22" t="n">
        <v>22</v>
      </c>
      <c r="BH189" s="21" t="n">
        <v>1206.95</v>
      </c>
      <c r="BI189" s="21" t="n">
        <v>841.24</v>
      </c>
      <c r="BJ189" s="23" t="s">
        <v>486</v>
      </c>
    </row>
    <row r="190" s="1" customFormat="true" ht="14.25" hidden="true" customHeight="false" outlineLevel="0" collapsed="false">
      <c r="A190" s="1" t="s">
        <v>2446</v>
      </c>
      <c r="B190" s="1" t="s">
        <v>2447</v>
      </c>
      <c r="C190" s="1" t="s">
        <v>59</v>
      </c>
      <c r="D190" s="1" t="s">
        <v>60</v>
      </c>
      <c r="E190" s="1" t="s">
        <v>1348</v>
      </c>
      <c r="F190" s="1" t="s">
        <v>2448</v>
      </c>
      <c r="G190" s="20" t="s">
        <v>2449</v>
      </c>
      <c r="H190" s="1" t="s">
        <v>2450</v>
      </c>
      <c r="I190" s="1" t="s">
        <v>2451</v>
      </c>
      <c r="J190" s="1" t="s">
        <v>2452</v>
      </c>
      <c r="K190" s="1" t="s">
        <v>2453</v>
      </c>
      <c r="L190" s="1" t="s">
        <v>2454</v>
      </c>
      <c r="M190" s="20" t="n">
        <v>3</v>
      </c>
      <c r="N190" s="1" t="s">
        <v>2455</v>
      </c>
      <c r="O190" s="1" t="s">
        <v>2456</v>
      </c>
      <c r="P190" s="1" t="s">
        <v>2457</v>
      </c>
      <c r="U190" s="1" t="n">
        <v>1</v>
      </c>
      <c r="V190" s="1" t="n">
        <v>0</v>
      </c>
      <c r="W190" s="1" t="n">
        <v>1</v>
      </c>
      <c r="X190" s="1" t="n">
        <v>0</v>
      </c>
      <c r="Y190" s="1" t="n">
        <v>2</v>
      </c>
      <c r="Z190" s="3" t="n">
        <v>48</v>
      </c>
      <c r="AA190" s="1" t="n">
        <v>2</v>
      </c>
      <c r="AB190" s="1" t="n">
        <v>53</v>
      </c>
      <c r="AC190" s="1" t="n">
        <v>2</v>
      </c>
      <c r="AD190" s="1" t="n">
        <v>62</v>
      </c>
      <c r="AE190" s="1" t="n">
        <v>2</v>
      </c>
      <c r="AF190" s="1" t="n">
        <v>61</v>
      </c>
      <c r="AG190" s="1" t="n">
        <v>2</v>
      </c>
      <c r="AH190" s="1" t="n">
        <v>65</v>
      </c>
      <c r="AI190" s="1" t="n">
        <v>0</v>
      </c>
      <c r="AJ190" s="1" t="n">
        <v>0</v>
      </c>
      <c r="AK190" s="1" t="n">
        <v>10</v>
      </c>
      <c r="AL190" s="4" t="n">
        <v>289</v>
      </c>
      <c r="AM190" s="21" t="n">
        <v>750333</v>
      </c>
      <c r="AN190" s="21" t="n">
        <v>239814</v>
      </c>
      <c r="AO190" s="21" t="n">
        <v>0</v>
      </c>
      <c r="AP190" s="21" t="n">
        <v>0</v>
      </c>
      <c r="AQ190" s="21" t="n">
        <v>11000</v>
      </c>
      <c r="AR190" s="21" t="n">
        <v>875</v>
      </c>
      <c r="AS190" s="22" t="n">
        <v>0</v>
      </c>
      <c r="AU190" s="22" t="n">
        <v>0</v>
      </c>
      <c r="AW190" s="22" t="n">
        <v>0</v>
      </c>
      <c r="AY190" s="21" t="n">
        <v>19.5</v>
      </c>
      <c r="AZ190" s="21" t="n">
        <v>22.5</v>
      </c>
      <c r="BA190" s="21" t="n">
        <v>42</v>
      </c>
      <c r="BB190" s="1" t="s">
        <v>2458</v>
      </c>
      <c r="BC190" s="22" t="n">
        <v>34</v>
      </c>
      <c r="BE190" s="22"/>
      <c r="BG190" s="22"/>
      <c r="BH190" s="21" t="n">
        <v>1421.76</v>
      </c>
      <c r="BI190" s="21" t="n">
        <v>807.59</v>
      </c>
      <c r="BJ190" s="23" t="s">
        <v>268</v>
      </c>
    </row>
    <row r="191" s="1" customFormat="true" ht="14.25" hidden="true" customHeight="false" outlineLevel="0" collapsed="false">
      <c r="A191" s="1" t="s">
        <v>2459</v>
      </c>
      <c r="B191" s="1" t="s">
        <v>2460</v>
      </c>
      <c r="C191" s="1" t="s">
        <v>59</v>
      </c>
      <c r="D191" s="1" t="s">
        <v>60</v>
      </c>
      <c r="E191" s="1" t="s">
        <v>757</v>
      </c>
      <c r="F191" s="1" t="s">
        <v>2461</v>
      </c>
      <c r="G191" s="20" t="s">
        <v>2462</v>
      </c>
      <c r="H191" s="1" t="s">
        <v>2463</v>
      </c>
      <c r="I191" s="1" t="s">
        <v>2464</v>
      </c>
      <c r="J191" s="1" t="s">
        <v>2465</v>
      </c>
      <c r="K191" s="1" t="s">
        <v>2466</v>
      </c>
      <c r="L191" s="1" t="s">
        <v>2467</v>
      </c>
      <c r="M191" s="20" t="n">
        <v>1</v>
      </c>
      <c r="N191" s="1" t="s">
        <v>2468</v>
      </c>
      <c r="U191" s="1" t="n">
        <v>1</v>
      </c>
      <c r="V191" s="1" t="n">
        <v>0</v>
      </c>
      <c r="W191" s="1" t="n">
        <v>0</v>
      </c>
      <c r="X191" s="1" t="n">
        <v>0</v>
      </c>
      <c r="Y191" s="1" t="n">
        <v>0</v>
      </c>
      <c r="Z191" s="3" t="n">
        <v>0</v>
      </c>
      <c r="AA191" s="1" t="n">
        <v>1</v>
      </c>
      <c r="AB191" s="1" t="n">
        <v>27</v>
      </c>
      <c r="AC191" s="1" t="n">
        <v>2</v>
      </c>
      <c r="AD191" s="1" t="n">
        <v>57</v>
      </c>
      <c r="AE191" s="1" t="n">
        <v>1</v>
      </c>
      <c r="AF191" s="1" t="n">
        <v>34</v>
      </c>
      <c r="AG191" s="1" t="n">
        <v>2</v>
      </c>
      <c r="AH191" s="1" t="n">
        <v>39</v>
      </c>
      <c r="AI191" s="1" t="n">
        <v>0</v>
      </c>
      <c r="AJ191" s="1" t="n">
        <v>0</v>
      </c>
      <c r="AK191" s="1" t="n">
        <v>6</v>
      </c>
      <c r="AL191" s="4" t="n">
        <v>157</v>
      </c>
      <c r="AM191" s="21" t="n">
        <v>471.863</v>
      </c>
      <c r="AN191" s="21" t="n">
        <v>128.474</v>
      </c>
      <c r="AO191" s="21" t="n">
        <v>0</v>
      </c>
      <c r="AP191" s="21" t="n">
        <v>4982</v>
      </c>
      <c r="AQ191" s="21" t="n">
        <v>4982</v>
      </c>
      <c r="AR191" s="21" t="n">
        <v>0</v>
      </c>
      <c r="AS191" s="22" t="n">
        <v>0</v>
      </c>
      <c r="AU191" s="22" t="n">
        <v>0</v>
      </c>
      <c r="AW191" s="22" t="n">
        <v>0</v>
      </c>
      <c r="AY191" s="21" t="n">
        <v>13.5</v>
      </c>
      <c r="AZ191" s="21" t="n">
        <v>12</v>
      </c>
      <c r="BA191" s="21" t="n">
        <v>25.5</v>
      </c>
      <c r="BC191" s="22"/>
      <c r="BE191" s="22"/>
      <c r="BG191" s="22"/>
      <c r="BH191" s="21" t="n">
        <v>1371</v>
      </c>
      <c r="BI191" s="21" t="n">
        <v>803</v>
      </c>
      <c r="BJ191" s="23" t="s">
        <v>2469</v>
      </c>
    </row>
    <row r="192" s="1" customFormat="true" ht="14.25" hidden="true" customHeight="false" outlineLevel="0" collapsed="false">
      <c r="A192" s="1" t="s">
        <v>2470</v>
      </c>
      <c r="B192" s="1" t="s">
        <v>2471</v>
      </c>
      <c r="C192" s="1" t="s">
        <v>59</v>
      </c>
      <c r="D192" s="1" t="s">
        <v>60</v>
      </c>
      <c r="E192" s="1" t="s">
        <v>355</v>
      </c>
      <c r="F192" s="1" t="s">
        <v>2472</v>
      </c>
      <c r="G192" s="20" t="s">
        <v>2473</v>
      </c>
      <c r="H192" s="1" t="s">
        <v>2474</v>
      </c>
      <c r="I192" s="1" t="s">
        <v>2475</v>
      </c>
      <c r="J192" s="1" t="s">
        <v>2476</v>
      </c>
      <c r="K192" s="1" t="s">
        <v>2477</v>
      </c>
      <c r="L192" s="1" t="s">
        <v>2478</v>
      </c>
      <c r="M192" s="20" t="n">
        <v>4</v>
      </c>
      <c r="N192" s="1" t="s">
        <v>2472</v>
      </c>
      <c r="O192" s="1" t="s">
        <v>2472</v>
      </c>
      <c r="P192" s="1" t="s">
        <v>2472</v>
      </c>
      <c r="Q192" s="1" t="s">
        <v>2472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3" t="n">
        <v>0</v>
      </c>
      <c r="AA192" s="1" t="n">
        <v>1</v>
      </c>
      <c r="AB192" s="1" t="n">
        <v>25</v>
      </c>
      <c r="AC192" s="1" t="n">
        <v>1</v>
      </c>
      <c r="AD192" s="1" t="n">
        <v>30</v>
      </c>
      <c r="AE192" s="1" t="n">
        <v>1</v>
      </c>
      <c r="AF192" s="1" t="n">
        <v>26</v>
      </c>
      <c r="AG192" s="1" t="n">
        <v>1</v>
      </c>
      <c r="AH192" s="1" t="n">
        <v>24</v>
      </c>
      <c r="AI192" s="1" t="n">
        <v>0</v>
      </c>
      <c r="AJ192" s="1" t="n">
        <v>0</v>
      </c>
      <c r="AK192" s="1" t="n">
        <v>4</v>
      </c>
      <c r="AL192" s="4" t="n">
        <v>105</v>
      </c>
      <c r="AM192" s="21" t="n">
        <v>314855</v>
      </c>
      <c r="AN192" s="21" t="n">
        <v>71619</v>
      </c>
      <c r="AO192" s="21" t="n">
        <v>0</v>
      </c>
      <c r="AP192" s="21" t="n">
        <v>0</v>
      </c>
      <c r="AQ192" s="21" t="n">
        <v>1917</v>
      </c>
      <c r="AR192" s="21" t="n">
        <v>0</v>
      </c>
      <c r="AS192" s="22" t="n">
        <v>0</v>
      </c>
      <c r="AU192" s="22" t="n">
        <v>0</v>
      </c>
      <c r="AW192" s="22" t="n">
        <v>0</v>
      </c>
      <c r="AY192" s="21" t="n">
        <v>9</v>
      </c>
      <c r="AZ192" s="21" t="n">
        <v>9</v>
      </c>
      <c r="BA192" s="21" t="n">
        <v>18</v>
      </c>
      <c r="BB192" s="1" t="s">
        <v>2479</v>
      </c>
      <c r="BC192" s="22" t="n">
        <v>15</v>
      </c>
      <c r="BD192" s="1" t="s">
        <v>2480</v>
      </c>
      <c r="BE192" s="22" t="n">
        <v>9</v>
      </c>
      <c r="BG192" s="22"/>
      <c r="BH192" s="21" t="n">
        <v>1259.36</v>
      </c>
      <c r="BI192" s="21" t="n">
        <v>827.91</v>
      </c>
      <c r="BJ192" s="23" t="s">
        <v>101</v>
      </c>
    </row>
    <row r="193" s="1" customFormat="true" ht="14.25" hidden="true" customHeight="false" outlineLevel="0" collapsed="false">
      <c r="A193" s="1" t="s">
        <v>2481</v>
      </c>
      <c r="B193" s="1" t="s">
        <v>2482</v>
      </c>
      <c r="C193" s="1" t="s">
        <v>59</v>
      </c>
      <c r="D193" s="1" t="s">
        <v>60</v>
      </c>
      <c r="E193" s="1" t="s">
        <v>118</v>
      </c>
      <c r="F193" s="1" t="s">
        <v>2483</v>
      </c>
      <c r="G193" s="20" t="s">
        <v>2484</v>
      </c>
      <c r="H193" s="1" t="s">
        <v>2485</v>
      </c>
      <c r="I193" s="1" t="s">
        <v>2486</v>
      </c>
      <c r="J193" s="1" t="s">
        <v>2487</v>
      </c>
      <c r="K193" s="1" t="s">
        <v>2488</v>
      </c>
      <c r="L193" s="1" t="s">
        <v>2489</v>
      </c>
      <c r="M193" s="20" t="n">
        <v>1</v>
      </c>
      <c r="N193" s="1" t="s">
        <v>2483</v>
      </c>
      <c r="U193" s="1" t="n">
        <v>1</v>
      </c>
      <c r="V193" s="1" t="n">
        <v>0</v>
      </c>
      <c r="W193" s="1" t="n">
        <v>0</v>
      </c>
      <c r="X193" s="1" t="n">
        <v>2</v>
      </c>
      <c r="Y193" s="1" t="n">
        <v>2</v>
      </c>
      <c r="Z193" s="3" t="n">
        <v>46</v>
      </c>
      <c r="AA193" s="1" t="n">
        <v>1</v>
      </c>
      <c r="AB193" s="1" t="n">
        <v>31</v>
      </c>
      <c r="AC193" s="1" t="n">
        <v>1</v>
      </c>
      <c r="AD193" s="1" t="n">
        <v>29</v>
      </c>
      <c r="AE193" s="1" t="n">
        <v>1</v>
      </c>
      <c r="AF193" s="1" t="n">
        <v>29</v>
      </c>
      <c r="AG193" s="1" t="n">
        <v>1</v>
      </c>
      <c r="AH193" s="1" t="n">
        <v>29</v>
      </c>
      <c r="AI193" s="1" t="n">
        <v>0</v>
      </c>
      <c r="AJ193" s="1" t="n">
        <v>0</v>
      </c>
      <c r="AK193" s="1" t="n">
        <v>6</v>
      </c>
      <c r="AL193" s="4" t="n">
        <v>164</v>
      </c>
      <c r="AM193" s="21" t="n">
        <v>430778</v>
      </c>
      <c r="AN193" s="21" t="n">
        <v>102636</v>
      </c>
      <c r="AO193" s="21" t="n">
        <v>23508</v>
      </c>
      <c r="AP193" s="21" t="n">
        <v>0</v>
      </c>
      <c r="AQ193" s="21" t="n">
        <v>3488</v>
      </c>
      <c r="AR193" s="21" t="n">
        <v>0</v>
      </c>
      <c r="AS193" s="22" t="n">
        <v>0</v>
      </c>
      <c r="AU193" s="22" t="n">
        <v>1</v>
      </c>
      <c r="AV193" s="1" t="s">
        <v>292</v>
      </c>
      <c r="AW193" s="22" t="n">
        <v>0</v>
      </c>
      <c r="AY193" s="21" t="n">
        <v>12</v>
      </c>
      <c r="AZ193" s="21" t="n">
        <v>14.5</v>
      </c>
      <c r="BA193" s="21" t="n">
        <v>26.5</v>
      </c>
      <c r="BB193" s="1" t="s">
        <v>2490</v>
      </c>
      <c r="BC193" s="22" t="n">
        <v>11</v>
      </c>
      <c r="BD193" s="1" t="s">
        <v>2491</v>
      </c>
      <c r="BE193" s="22" t="n">
        <v>16</v>
      </c>
      <c r="BG193" s="22"/>
      <c r="BH193" s="21" t="n">
        <v>1159.16</v>
      </c>
      <c r="BI193" s="21" t="n">
        <v>734.48</v>
      </c>
      <c r="BJ193" s="23" t="s">
        <v>2492</v>
      </c>
    </row>
    <row r="194" s="1" customFormat="true" ht="14.25" hidden="true" customHeight="false" outlineLevel="0" collapsed="false">
      <c r="A194" s="1" t="s">
        <v>2493</v>
      </c>
      <c r="B194" s="1" t="s">
        <v>2494</v>
      </c>
      <c r="C194" s="1" t="s">
        <v>59</v>
      </c>
      <c r="D194" s="1" t="s">
        <v>60</v>
      </c>
      <c r="E194" s="1" t="s">
        <v>638</v>
      </c>
      <c r="F194" s="1" t="s">
        <v>2495</v>
      </c>
      <c r="G194" s="20" t="s">
        <v>2496</v>
      </c>
      <c r="H194" s="1" t="s">
        <v>2497</v>
      </c>
      <c r="I194" s="1" t="s">
        <v>2498</v>
      </c>
      <c r="J194" s="1" t="s">
        <v>2499</v>
      </c>
      <c r="K194" s="1" t="s">
        <v>2500</v>
      </c>
      <c r="L194" s="1" t="s">
        <v>2501</v>
      </c>
      <c r="M194" s="20" t="n">
        <v>1</v>
      </c>
      <c r="N194" s="1" t="s">
        <v>2502</v>
      </c>
      <c r="U194" s="1" t="n">
        <v>1</v>
      </c>
      <c r="V194" s="1" t="n">
        <v>0</v>
      </c>
      <c r="W194" s="1" t="n">
        <v>0</v>
      </c>
      <c r="X194" s="1" t="n">
        <v>1</v>
      </c>
      <c r="Y194" s="1" t="n">
        <v>1</v>
      </c>
      <c r="Z194" s="3" t="n">
        <v>25</v>
      </c>
      <c r="AA194" s="1" t="n">
        <v>1</v>
      </c>
      <c r="AB194" s="1" t="n">
        <v>27</v>
      </c>
      <c r="AC194" s="1" t="n">
        <v>2</v>
      </c>
      <c r="AD194" s="1" t="n">
        <v>60</v>
      </c>
      <c r="AE194" s="1" t="n">
        <v>1</v>
      </c>
      <c r="AF194" s="1" t="n">
        <v>32</v>
      </c>
      <c r="AG194" s="1" t="n">
        <v>1</v>
      </c>
      <c r="AH194" s="1" t="n">
        <v>31</v>
      </c>
      <c r="AI194" s="1" t="n">
        <v>0</v>
      </c>
      <c r="AJ194" s="1" t="n">
        <v>0</v>
      </c>
      <c r="AK194" s="1" t="n">
        <v>6</v>
      </c>
      <c r="AL194" s="4" t="n">
        <v>175</v>
      </c>
      <c r="AM194" s="21" t="n">
        <v>450390</v>
      </c>
      <c r="AN194" s="21" t="n">
        <v>125956</v>
      </c>
      <c r="AO194" s="21" t="n">
        <v>0</v>
      </c>
      <c r="AP194" s="21" t="n">
        <v>0</v>
      </c>
      <c r="AQ194" s="21" t="n">
        <v>7867</v>
      </c>
      <c r="AR194" s="21" t="n">
        <v>45</v>
      </c>
      <c r="AS194" s="22" t="n">
        <v>0</v>
      </c>
      <c r="AU194" s="22" t="n">
        <v>0</v>
      </c>
      <c r="AW194" s="22" t="n">
        <v>0</v>
      </c>
      <c r="AY194" s="21" t="n">
        <v>11</v>
      </c>
      <c r="AZ194" s="21" t="n">
        <v>13</v>
      </c>
      <c r="BA194" s="21" t="n">
        <v>24</v>
      </c>
      <c r="BB194" s="1" t="s">
        <v>2503</v>
      </c>
      <c r="BC194" s="22" t="n">
        <v>1</v>
      </c>
      <c r="BD194" s="1" t="s">
        <v>2504</v>
      </c>
      <c r="BE194" s="22" t="n">
        <v>10</v>
      </c>
      <c r="BG194" s="22"/>
      <c r="BH194" s="21" t="n">
        <v>1515.53</v>
      </c>
      <c r="BI194" s="21" t="n">
        <v>847.3</v>
      </c>
      <c r="BJ194" s="23" t="s">
        <v>201</v>
      </c>
    </row>
    <row r="195" s="1" customFormat="true" ht="14.25" hidden="true" customHeight="false" outlineLevel="0" collapsed="false">
      <c r="A195" s="1" t="s">
        <v>2505</v>
      </c>
      <c r="B195" s="1" t="s">
        <v>2506</v>
      </c>
      <c r="C195" s="1" t="s">
        <v>59</v>
      </c>
      <c r="D195" s="1" t="s">
        <v>60</v>
      </c>
      <c r="E195" s="1" t="s">
        <v>355</v>
      </c>
      <c r="F195" s="1" t="s">
        <v>2507</v>
      </c>
      <c r="G195" s="20" t="n">
        <v>175930132</v>
      </c>
      <c r="H195" s="1" t="s">
        <v>2508</v>
      </c>
      <c r="I195" s="1" t="s">
        <v>2509</v>
      </c>
      <c r="J195" s="1" t="s">
        <v>2510</v>
      </c>
      <c r="K195" s="1" t="s">
        <v>2511</v>
      </c>
      <c r="L195" s="1" t="s">
        <v>2512</v>
      </c>
      <c r="M195" s="20" t="n">
        <v>1</v>
      </c>
      <c r="U195" s="1" t="n">
        <v>0</v>
      </c>
      <c r="V195" s="1" t="n">
        <v>0</v>
      </c>
      <c r="W195" s="1" t="n">
        <v>2</v>
      </c>
      <c r="X195" s="1" t="n">
        <v>2</v>
      </c>
      <c r="Y195" s="1" t="n">
        <v>2</v>
      </c>
      <c r="Z195" s="3" t="n">
        <v>51</v>
      </c>
      <c r="AA195" s="1" t="n">
        <v>1</v>
      </c>
      <c r="AB195" s="1" t="n">
        <v>32</v>
      </c>
      <c r="AC195" s="1" t="n">
        <v>2</v>
      </c>
      <c r="AD195" s="1" t="n">
        <v>56</v>
      </c>
      <c r="AE195" s="1" t="n">
        <v>1</v>
      </c>
      <c r="AF195" s="1" t="n">
        <v>32</v>
      </c>
      <c r="AG195" s="1" t="n">
        <v>2</v>
      </c>
      <c r="AH195" s="1" t="n">
        <v>62</v>
      </c>
      <c r="AI195" s="1" t="n">
        <v>0</v>
      </c>
      <c r="AJ195" s="1" t="n">
        <v>0</v>
      </c>
      <c r="AK195" s="1" t="n">
        <v>8</v>
      </c>
      <c r="AL195" s="4" t="n">
        <v>233</v>
      </c>
      <c r="AM195" s="21" t="n">
        <v>551929</v>
      </c>
      <c r="AN195" s="21" t="n">
        <v>178827</v>
      </c>
      <c r="AO195" s="21" t="n">
        <v>0</v>
      </c>
      <c r="AP195" s="21" t="n">
        <v>0</v>
      </c>
      <c r="AQ195" s="21" t="n">
        <v>11493.2</v>
      </c>
      <c r="AR195" s="21" t="n">
        <v>0</v>
      </c>
      <c r="AS195" s="22" t="n">
        <v>0</v>
      </c>
      <c r="AU195" s="22" t="n">
        <v>0</v>
      </c>
      <c r="AW195" s="22" t="n">
        <v>0</v>
      </c>
      <c r="AY195" s="21" t="n">
        <v>14.5</v>
      </c>
      <c r="AZ195" s="21" t="n">
        <v>18.5</v>
      </c>
      <c r="BA195" s="21" t="n">
        <v>33</v>
      </c>
      <c r="BC195" s="22" t="n">
        <v>4</v>
      </c>
      <c r="BE195" s="22"/>
      <c r="BG195" s="22"/>
      <c r="BH195" s="21" t="n">
        <v>1243.38</v>
      </c>
      <c r="BI195" s="21" t="n">
        <v>825.54</v>
      </c>
      <c r="BJ195" s="23" t="s">
        <v>486</v>
      </c>
    </row>
    <row r="196" s="1" customFormat="true" ht="14.25" hidden="false" customHeight="false" outlineLevel="0" collapsed="false">
      <c r="G196" s="2"/>
      <c r="M196" s="2"/>
      <c r="Z196" s="3"/>
      <c r="AL196" s="4"/>
      <c r="AM196" s="5"/>
      <c r="AN196" s="5"/>
      <c r="AO196" s="5"/>
      <c r="AP196" s="5"/>
      <c r="AQ196" s="5"/>
      <c r="AR196" s="5"/>
      <c r="AS196" s="6"/>
      <c r="AU196" s="6"/>
      <c r="AW196" s="6"/>
      <c r="AY196" s="5"/>
      <c r="AZ196" s="5"/>
      <c r="BA196" s="5"/>
      <c r="BC196" s="6"/>
      <c r="BE196" s="6"/>
      <c r="BG196" s="6"/>
      <c r="BH196" s="5"/>
      <c r="BI196" s="5"/>
      <c r="BJ196" s="7"/>
    </row>
    <row r="197" s="1" customFormat="true" ht="14.25" hidden="false" customHeight="false" outlineLevel="0" collapsed="false">
      <c r="G197" s="2"/>
      <c r="M197" s="2"/>
      <c r="Z197" s="3"/>
      <c r="AL197" s="4"/>
      <c r="AM197" s="5"/>
      <c r="AN197" s="5"/>
      <c r="AO197" s="5"/>
      <c r="AP197" s="5"/>
      <c r="AQ197" s="5"/>
      <c r="AR197" s="5"/>
      <c r="AS197" s="6"/>
      <c r="AU197" s="6"/>
      <c r="AW197" s="6"/>
      <c r="AY197" s="5"/>
      <c r="AZ197" s="5"/>
      <c r="BA197" s="5"/>
      <c r="BC197" s="6"/>
      <c r="BE197" s="6"/>
      <c r="BG197" s="6"/>
      <c r="BH197" s="5"/>
      <c r="BI197" s="5"/>
      <c r="BJ197" s="7"/>
    </row>
    <row r="198" s="1" customFormat="true" ht="14.25" hidden="false" customHeight="false" outlineLevel="0" collapsed="false">
      <c r="G198" s="2"/>
      <c r="M198" s="2"/>
      <c r="Z198" s="3"/>
      <c r="AL198" s="4"/>
      <c r="AM198" s="5"/>
      <c r="AN198" s="5"/>
      <c r="AO198" s="5"/>
      <c r="AP198" s="5"/>
      <c r="AQ198" s="5"/>
      <c r="AR198" s="5"/>
      <c r="AS198" s="6"/>
      <c r="AU198" s="6"/>
      <c r="AW198" s="6"/>
      <c r="AY198" s="5"/>
      <c r="AZ198" s="5"/>
      <c r="BA198" s="5"/>
      <c r="BC198" s="6"/>
      <c r="BE198" s="6"/>
      <c r="BG198" s="6"/>
      <c r="BH198" s="5"/>
      <c r="BI198" s="5"/>
      <c r="BJ198" s="7"/>
    </row>
    <row r="199" s="1" customFormat="true" ht="14.25" hidden="false" customHeight="false" outlineLevel="0" collapsed="false">
      <c r="G199" s="2"/>
      <c r="M199" s="2"/>
      <c r="Z199" s="3"/>
      <c r="AL199" s="4"/>
      <c r="AM199" s="5"/>
      <c r="AN199" s="5"/>
      <c r="AO199" s="5"/>
      <c r="AP199" s="5"/>
      <c r="AQ199" s="5"/>
      <c r="AR199" s="5"/>
      <c r="AS199" s="6"/>
      <c r="AU199" s="6"/>
      <c r="AW199" s="6"/>
      <c r="AY199" s="5"/>
      <c r="AZ199" s="5"/>
      <c r="BA199" s="5"/>
      <c r="BC199" s="6"/>
      <c r="BE199" s="6"/>
      <c r="BG199" s="6"/>
      <c r="BH199" s="5"/>
      <c r="BI199" s="5"/>
      <c r="BJ199" s="7"/>
    </row>
    <row r="200" s="1" customFormat="true" ht="14.25" hidden="false" customHeight="false" outlineLevel="0" collapsed="false">
      <c r="G200" s="2"/>
      <c r="M200" s="2"/>
      <c r="Z200" s="3"/>
      <c r="AL200" s="4"/>
      <c r="AM200" s="5"/>
      <c r="AN200" s="5"/>
      <c r="AO200" s="5"/>
      <c r="AP200" s="5"/>
      <c r="AQ200" s="5"/>
      <c r="AR200" s="5"/>
      <c r="AS200" s="6"/>
      <c r="AU200" s="6"/>
      <c r="AW200" s="6"/>
      <c r="AY200" s="5"/>
      <c r="AZ200" s="5"/>
      <c r="BA200" s="5"/>
      <c r="BC200" s="6"/>
      <c r="BE200" s="6"/>
      <c r="BG200" s="6"/>
      <c r="BH200" s="5"/>
      <c r="BI200" s="5"/>
      <c r="BJ200" s="7"/>
    </row>
    <row r="201" s="1" customFormat="true" ht="14.25" hidden="false" customHeight="false" outlineLevel="0" collapsed="false">
      <c r="G201" s="2"/>
      <c r="M201" s="2"/>
      <c r="Z201" s="3"/>
      <c r="AL201" s="4"/>
      <c r="AM201" s="5"/>
      <c r="AN201" s="5"/>
      <c r="AO201" s="5"/>
      <c r="AP201" s="5"/>
      <c r="AQ201" s="5"/>
      <c r="AR201" s="5"/>
      <c r="AS201" s="6"/>
      <c r="AU201" s="6"/>
      <c r="AW201" s="6"/>
      <c r="AY201" s="5"/>
      <c r="AZ201" s="5"/>
      <c r="BA201" s="5"/>
      <c r="BC201" s="6"/>
      <c r="BE201" s="6"/>
      <c r="BG201" s="6"/>
      <c r="BH201" s="5"/>
      <c r="BI201" s="5"/>
      <c r="BJ201" s="7"/>
    </row>
    <row r="202" s="1" customFormat="true" ht="14.25" hidden="false" customHeight="false" outlineLevel="0" collapsed="false">
      <c r="G202" s="2"/>
      <c r="M202" s="2"/>
      <c r="Z202" s="3"/>
      <c r="AL202" s="4"/>
      <c r="AM202" s="5"/>
      <c r="AN202" s="5"/>
      <c r="AO202" s="5"/>
      <c r="AP202" s="5"/>
      <c r="AQ202" s="5"/>
      <c r="AR202" s="5"/>
      <c r="AS202" s="6"/>
      <c r="AU202" s="6"/>
      <c r="AW202" s="6"/>
      <c r="AY202" s="5"/>
      <c r="AZ202" s="5"/>
      <c r="BA202" s="5"/>
      <c r="BC202" s="6"/>
      <c r="BE202" s="6"/>
      <c r="BG202" s="6"/>
      <c r="BH202" s="5"/>
      <c r="BI202" s="5"/>
      <c r="BJ202" s="7"/>
    </row>
    <row r="203" s="1" customFormat="true" ht="14.25" hidden="false" customHeight="false" outlineLevel="0" collapsed="false">
      <c r="G203" s="2"/>
      <c r="M203" s="2"/>
      <c r="Z203" s="3"/>
      <c r="AL203" s="4"/>
      <c r="AM203" s="5"/>
      <c r="AN203" s="5"/>
      <c r="AO203" s="5"/>
      <c r="AP203" s="5"/>
      <c r="AQ203" s="5"/>
      <c r="AR203" s="5"/>
      <c r="AS203" s="6"/>
      <c r="AU203" s="6"/>
      <c r="AW203" s="6"/>
      <c r="AY203" s="5"/>
      <c r="AZ203" s="5"/>
      <c r="BA203" s="5"/>
      <c r="BC203" s="6"/>
      <c r="BE203" s="6"/>
      <c r="BG203" s="6"/>
      <c r="BH203" s="5"/>
      <c r="BI203" s="5"/>
      <c r="BJ203" s="7"/>
    </row>
    <row r="204" s="1" customFormat="true" ht="14.25" hidden="false" customHeight="false" outlineLevel="0" collapsed="false">
      <c r="G204" s="2"/>
      <c r="M204" s="2"/>
      <c r="Z204" s="3"/>
      <c r="AL204" s="4"/>
      <c r="AM204" s="5"/>
      <c r="AN204" s="5"/>
      <c r="AO204" s="5"/>
      <c r="AP204" s="5"/>
      <c r="AQ204" s="5"/>
      <c r="AR204" s="5"/>
      <c r="AS204" s="6"/>
      <c r="AU204" s="6"/>
      <c r="AW204" s="6"/>
      <c r="AY204" s="5"/>
      <c r="AZ204" s="5"/>
      <c r="BA204" s="5"/>
      <c r="BC204" s="6"/>
      <c r="BE204" s="6"/>
      <c r="BG204" s="6"/>
      <c r="BH204" s="5"/>
      <c r="BI204" s="5"/>
      <c r="BJ204" s="7"/>
    </row>
    <row r="205" s="1" customFormat="true" ht="14.25" hidden="false" customHeight="false" outlineLevel="0" collapsed="false">
      <c r="G205" s="2"/>
      <c r="M205" s="2"/>
      <c r="Z205" s="3"/>
      <c r="AL205" s="4"/>
      <c r="AM205" s="5"/>
      <c r="AN205" s="5"/>
      <c r="AO205" s="5"/>
      <c r="AP205" s="5"/>
      <c r="AQ205" s="5"/>
      <c r="AR205" s="5"/>
      <c r="AS205" s="6"/>
      <c r="AU205" s="6"/>
      <c r="AW205" s="6"/>
      <c r="AY205" s="5"/>
      <c r="AZ205" s="5"/>
      <c r="BA205" s="5"/>
      <c r="BC205" s="6"/>
      <c r="BE205" s="6"/>
      <c r="BG205" s="6"/>
      <c r="BH205" s="5"/>
      <c r="BI205" s="5"/>
      <c r="BJ205" s="7"/>
    </row>
    <row r="206" s="1" customFormat="true" ht="14.25" hidden="false" customHeight="false" outlineLevel="0" collapsed="false">
      <c r="G206" s="2"/>
      <c r="M206" s="2"/>
      <c r="Z206" s="3"/>
      <c r="AL206" s="4"/>
      <c r="AM206" s="5"/>
      <c r="AN206" s="5"/>
      <c r="AO206" s="5"/>
      <c r="AP206" s="5"/>
      <c r="AQ206" s="5"/>
      <c r="AR206" s="5"/>
      <c r="AS206" s="6"/>
      <c r="AU206" s="6"/>
      <c r="AW206" s="6"/>
      <c r="AY206" s="5"/>
      <c r="AZ206" s="5"/>
      <c r="BA206" s="5"/>
      <c r="BC206" s="6"/>
      <c r="BE206" s="6"/>
      <c r="BG206" s="6"/>
      <c r="BH206" s="5"/>
      <c r="BI206" s="5"/>
      <c r="BJ206" s="7"/>
    </row>
    <row r="207" s="1" customFormat="true" ht="14.25" hidden="false" customHeight="false" outlineLevel="0" collapsed="false">
      <c r="G207" s="2"/>
      <c r="M207" s="2"/>
      <c r="Z207" s="3"/>
      <c r="AL207" s="4"/>
      <c r="AM207" s="5"/>
      <c r="AN207" s="5"/>
      <c r="AO207" s="5"/>
      <c r="AP207" s="5"/>
      <c r="AQ207" s="5"/>
      <c r="AR207" s="5"/>
      <c r="AS207" s="6"/>
      <c r="AU207" s="6"/>
      <c r="AW207" s="6"/>
      <c r="AY207" s="5"/>
      <c r="AZ207" s="5"/>
      <c r="BA207" s="5"/>
      <c r="BC207" s="6"/>
      <c r="BE207" s="6"/>
      <c r="BG207" s="6"/>
      <c r="BH207" s="5"/>
      <c r="BI207" s="5"/>
      <c r="BJ207" s="7"/>
    </row>
    <row r="208" s="1" customFormat="true" ht="14.25" hidden="false" customHeight="false" outlineLevel="0" collapsed="false">
      <c r="G208" s="2"/>
      <c r="M208" s="2"/>
      <c r="Z208" s="3"/>
      <c r="AL208" s="4"/>
      <c r="AM208" s="5"/>
      <c r="AN208" s="5"/>
      <c r="AO208" s="5"/>
      <c r="AP208" s="5"/>
      <c r="AQ208" s="5"/>
      <c r="AR208" s="5"/>
      <c r="AS208" s="6"/>
      <c r="AU208" s="6"/>
      <c r="AW208" s="6"/>
      <c r="AY208" s="5"/>
      <c r="AZ208" s="5"/>
      <c r="BA208" s="5"/>
      <c r="BC208" s="6"/>
      <c r="BE208" s="6"/>
      <c r="BG208" s="6"/>
      <c r="BH208" s="5"/>
      <c r="BI208" s="5"/>
      <c r="BJ208" s="7"/>
    </row>
    <row r="209" s="1" customFormat="true" ht="14.25" hidden="false" customHeight="false" outlineLevel="0" collapsed="false">
      <c r="G209" s="2"/>
      <c r="M209" s="2"/>
      <c r="Z209" s="3"/>
      <c r="AL209" s="4"/>
      <c r="AM209" s="5"/>
      <c r="AN209" s="5"/>
      <c r="AO209" s="5"/>
      <c r="AP209" s="5"/>
      <c r="AQ209" s="5"/>
      <c r="AR209" s="5"/>
      <c r="AS209" s="6"/>
      <c r="AU209" s="6"/>
      <c r="AW209" s="6"/>
      <c r="AY209" s="5"/>
      <c r="AZ209" s="5"/>
      <c r="BA209" s="5"/>
      <c r="BC209" s="6"/>
      <c r="BE209" s="6"/>
      <c r="BG209" s="6"/>
      <c r="BH209" s="5"/>
      <c r="BI209" s="5"/>
      <c r="BJ209" s="7"/>
    </row>
    <row r="210" s="1" customFormat="true" ht="14.25" hidden="false" customHeight="false" outlineLevel="0" collapsed="false">
      <c r="G210" s="2"/>
      <c r="M210" s="2"/>
      <c r="Z210" s="3"/>
      <c r="AL210" s="4"/>
      <c r="AM210" s="5"/>
      <c r="AN210" s="5"/>
      <c r="AO210" s="5"/>
      <c r="AP210" s="5"/>
      <c r="AQ210" s="5"/>
      <c r="AR210" s="5"/>
      <c r="AS210" s="6"/>
      <c r="AU210" s="6"/>
      <c r="AW210" s="6"/>
      <c r="AY210" s="5"/>
      <c r="AZ210" s="5"/>
      <c r="BA210" s="5"/>
      <c r="BC210" s="6"/>
      <c r="BE210" s="6"/>
      <c r="BG210" s="6"/>
      <c r="BH210" s="5"/>
      <c r="BI210" s="5"/>
      <c r="BJ210" s="7"/>
    </row>
    <row r="211" s="1" customFormat="true" ht="14.25" hidden="false" customHeight="false" outlineLevel="0" collapsed="false">
      <c r="G211" s="2"/>
      <c r="M211" s="2"/>
      <c r="Z211" s="3"/>
      <c r="AL211" s="4"/>
      <c r="AM211" s="5"/>
      <c r="AN211" s="5"/>
      <c r="AO211" s="5"/>
      <c r="AP211" s="5"/>
      <c r="AQ211" s="5"/>
      <c r="AR211" s="5"/>
      <c r="AS211" s="6"/>
      <c r="AU211" s="6"/>
      <c r="AW211" s="6"/>
      <c r="AY211" s="5"/>
      <c r="AZ211" s="5"/>
      <c r="BA211" s="5"/>
      <c r="BC211" s="6"/>
      <c r="BE211" s="6"/>
      <c r="BG211" s="6"/>
      <c r="BH211" s="5"/>
      <c r="BI211" s="5"/>
      <c r="BJ211" s="7"/>
    </row>
    <row r="212" s="1" customFormat="true" ht="14.25" hidden="false" customHeight="false" outlineLevel="0" collapsed="false">
      <c r="G212" s="2"/>
      <c r="M212" s="2"/>
      <c r="Z212" s="3"/>
      <c r="AL212" s="4"/>
      <c r="AM212" s="5"/>
      <c r="AN212" s="5"/>
      <c r="AO212" s="5"/>
      <c r="AP212" s="5"/>
      <c r="AQ212" s="5"/>
      <c r="AR212" s="5"/>
      <c r="AS212" s="6"/>
      <c r="AU212" s="6"/>
      <c r="AW212" s="6"/>
      <c r="AY212" s="5"/>
      <c r="AZ212" s="5"/>
      <c r="BA212" s="5"/>
      <c r="BC212" s="6"/>
      <c r="BE212" s="6"/>
      <c r="BG212" s="6"/>
      <c r="BH212" s="5"/>
      <c r="BI212" s="5"/>
      <c r="BJ212" s="7"/>
    </row>
    <row r="213" s="1" customFormat="true" ht="14.25" hidden="false" customHeight="false" outlineLevel="0" collapsed="false">
      <c r="G213" s="2"/>
      <c r="M213" s="2"/>
      <c r="Z213" s="3"/>
      <c r="AL213" s="4"/>
      <c r="AM213" s="5"/>
      <c r="AN213" s="5"/>
      <c r="AO213" s="5"/>
      <c r="AP213" s="5"/>
      <c r="AQ213" s="5"/>
      <c r="AR213" s="5"/>
      <c r="AS213" s="6"/>
      <c r="AU213" s="6"/>
      <c r="AW213" s="6"/>
      <c r="AY213" s="5"/>
      <c r="AZ213" s="5"/>
      <c r="BA213" s="5"/>
      <c r="BC213" s="6"/>
      <c r="BE213" s="6"/>
      <c r="BG213" s="6"/>
      <c r="BH213" s="5"/>
      <c r="BI213" s="5"/>
      <c r="BJ213" s="7"/>
    </row>
    <row r="214" s="1" customFormat="true" ht="14.25" hidden="false" customHeight="false" outlineLevel="0" collapsed="false">
      <c r="G214" s="2"/>
      <c r="M214" s="2"/>
      <c r="Z214" s="3"/>
      <c r="AL214" s="4"/>
      <c r="AM214" s="5"/>
      <c r="AN214" s="5"/>
      <c r="AO214" s="5"/>
      <c r="AP214" s="5"/>
      <c r="AQ214" s="5"/>
      <c r="AR214" s="5"/>
      <c r="AS214" s="6"/>
      <c r="AU214" s="6"/>
      <c r="AW214" s="6"/>
      <c r="AY214" s="5"/>
      <c r="AZ214" s="5"/>
      <c r="BA214" s="5"/>
      <c r="BC214" s="6"/>
      <c r="BE214" s="6"/>
      <c r="BG214" s="6"/>
      <c r="BH214" s="5"/>
      <c r="BI214" s="5"/>
      <c r="BJ214" s="7"/>
    </row>
    <row r="215" s="1" customFormat="true" ht="14.25" hidden="false" customHeight="false" outlineLevel="0" collapsed="false">
      <c r="G215" s="2"/>
      <c r="M215" s="2"/>
      <c r="Z215" s="3"/>
      <c r="AL215" s="4"/>
      <c r="AM215" s="5"/>
      <c r="AN215" s="5"/>
      <c r="AO215" s="5"/>
      <c r="AP215" s="5"/>
      <c r="AQ215" s="5"/>
      <c r="AR215" s="5"/>
      <c r="AS215" s="6"/>
      <c r="AU215" s="6"/>
      <c r="AW215" s="6"/>
      <c r="AY215" s="5"/>
      <c r="AZ215" s="5"/>
      <c r="BA215" s="5"/>
      <c r="BC215" s="6"/>
      <c r="BE215" s="6"/>
      <c r="BG215" s="6"/>
      <c r="BH215" s="5"/>
      <c r="BI215" s="5"/>
      <c r="BJ215" s="7"/>
    </row>
    <row r="216" s="1" customFormat="true" ht="14.25" hidden="false" customHeight="false" outlineLevel="0" collapsed="false">
      <c r="G216" s="2"/>
      <c r="M216" s="2"/>
      <c r="Z216" s="3"/>
      <c r="AL216" s="4"/>
      <c r="AM216" s="5"/>
      <c r="AN216" s="5"/>
      <c r="AO216" s="5"/>
      <c r="AP216" s="5"/>
      <c r="AQ216" s="5"/>
      <c r="AR216" s="5"/>
      <c r="AS216" s="6"/>
      <c r="AU216" s="6"/>
      <c r="AW216" s="6"/>
      <c r="AY216" s="5"/>
      <c r="AZ216" s="5"/>
      <c r="BA216" s="5"/>
      <c r="BC216" s="6"/>
      <c r="BE216" s="6"/>
      <c r="BG216" s="6"/>
      <c r="BH216" s="5"/>
      <c r="BI216" s="5"/>
      <c r="BJ216" s="7"/>
    </row>
    <row r="217" s="1" customFormat="true" ht="14.25" hidden="false" customHeight="false" outlineLevel="0" collapsed="false">
      <c r="G217" s="2"/>
      <c r="M217" s="2"/>
      <c r="Z217" s="3"/>
      <c r="AL217" s="4"/>
      <c r="AM217" s="5"/>
      <c r="AN217" s="5"/>
      <c r="AO217" s="5"/>
      <c r="AP217" s="5"/>
      <c r="AQ217" s="5"/>
      <c r="AR217" s="5"/>
      <c r="AS217" s="6"/>
      <c r="AU217" s="6"/>
      <c r="AW217" s="6"/>
      <c r="AY217" s="5"/>
      <c r="AZ217" s="5"/>
      <c r="BA217" s="5"/>
      <c r="BC217" s="6"/>
      <c r="BE217" s="6"/>
      <c r="BG217" s="6"/>
      <c r="BH217" s="5"/>
      <c r="BI217" s="5"/>
      <c r="BJ217" s="7"/>
    </row>
    <row r="218" s="1" customFormat="true" ht="14.25" hidden="false" customHeight="false" outlineLevel="0" collapsed="false">
      <c r="G218" s="2"/>
      <c r="M218" s="2"/>
      <c r="Z218" s="3"/>
      <c r="AL218" s="4"/>
      <c r="AM218" s="5"/>
      <c r="AN218" s="5"/>
      <c r="AO218" s="5"/>
      <c r="AP218" s="5"/>
      <c r="AQ218" s="5"/>
      <c r="AR218" s="5"/>
      <c r="AS218" s="6"/>
      <c r="AU218" s="6"/>
      <c r="AW218" s="6"/>
      <c r="AY218" s="5"/>
      <c r="AZ218" s="5"/>
      <c r="BA218" s="5"/>
      <c r="BC218" s="6"/>
      <c r="BE218" s="6"/>
      <c r="BG218" s="6"/>
      <c r="BH218" s="5"/>
      <c r="BI218" s="5"/>
      <c r="BJ218" s="7"/>
    </row>
    <row r="219" s="1" customFormat="true" ht="14.25" hidden="false" customHeight="false" outlineLevel="0" collapsed="false">
      <c r="G219" s="2"/>
      <c r="M219" s="2"/>
      <c r="Z219" s="3"/>
      <c r="AL219" s="4"/>
      <c r="AM219" s="5"/>
      <c r="AN219" s="5"/>
      <c r="AO219" s="5"/>
      <c r="AP219" s="5"/>
      <c r="AQ219" s="5"/>
      <c r="AR219" s="5"/>
      <c r="AS219" s="6"/>
      <c r="AU219" s="6"/>
      <c r="AW219" s="6"/>
      <c r="AY219" s="5"/>
      <c r="AZ219" s="5"/>
      <c r="BA219" s="5"/>
      <c r="BC219" s="6"/>
      <c r="BE219" s="6"/>
      <c r="BG219" s="6"/>
      <c r="BH219" s="5"/>
      <c r="BI219" s="5"/>
      <c r="BJ219" s="7"/>
    </row>
    <row r="220" s="1" customFormat="true" ht="14.25" hidden="false" customHeight="false" outlineLevel="0" collapsed="false">
      <c r="G220" s="2"/>
      <c r="M220" s="2"/>
      <c r="Z220" s="3"/>
      <c r="AL220" s="4"/>
      <c r="AM220" s="5"/>
      <c r="AN220" s="5"/>
      <c r="AO220" s="5"/>
      <c r="AP220" s="5"/>
      <c r="AQ220" s="5"/>
      <c r="AR220" s="5"/>
      <c r="AS220" s="6"/>
      <c r="AU220" s="6"/>
      <c r="AW220" s="6"/>
      <c r="AY220" s="5"/>
      <c r="AZ220" s="5"/>
      <c r="BA220" s="5"/>
      <c r="BC220" s="6"/>
      <c r="BE220" s="6"/>
      <c r="BG220" s="6"/>
      <c r="BH220" s="5"/>
      <c r="BI220" s="5"/>
      <c r="BJ220" s="7"/>
    </row>
    <row r="221" s="1" customFormat="true" ht="14.25" hidden="false" customHeight="false" outlineLevel="0" collapsed="false">
      <c r="G221" s="2"/>
      <c r="M221" s="2"/>
      <c r="Z221" s="3"/>
      <c r="AL221" s="4"/>
      <c r="AM221" s="5"/>
      <c r="AN221" s="5"/>
      <c r="AO221" s="5"/>
      <c r="AP221" s="5"/>
      <c r="AQ221" s="5"/>
      <c r="AR221" s="5"/>
      <c r="AS221" s="6"/>
      <c r="AU221" s="6"/>
      <c r="AW221" s="6"/>
      <c r="AY221" s="5"/>
      <c r="AZ221" s="5"/>
      <c r="BA221" s="5"/>
      <c r="BC221" s="6"/>
      <c r="BE221" s="6"/>
      <c r="BG221" s="6"/>
      <c r="BH221" s="5"/>
      <c r="BI221" s="5"/>
      <c r="BJ221" s="7"/>
    </row>
    <row r="222" s="1" customFormat="true" ht="14.25" hidden="false" customHeight="false" outlineLevel="0" collapsed="false">
      <c r="G222" s="2"/>
      <c r="M222" s="2"/>
      <c r="Z222" s="3"/>
      <c r="AL222" s="4"/>
      <c r="AM222" s="5"/>
      <c r="AN222" s="5"/>
      <c r="AO222" s="5"/>
      <c r="AP222" s="5"/>
      <c r="AQ222" s="5"/>
      <c r="AR222" s="5"/>
      <c r="AS222" s="6"/>
      <c r="AU222" s="6"/>
      <c r="AW222" s="6"/>
      <c r="AY222" s="5"/>
      <c r="AZ222" s="5"/>
      <c r="BA222" s="5"/>
      <c r="BC222" s="6"/>
      <c r="BE222" s="6"/>
      <c r="BG222" s="6"/>
      <c r="BH222" s="5"/>
      <c r="BI222" s="5"/>
      <c r="BJ222" s="7"/>
    </row>
    <row r="223" s="1" customFormat="true" ht="14.25" hidden="false" customHeight="false" outlineLevel="0" collapsed="false">
      <c r="G223" s="2"/>
      <c r="M223" s="2"/>
      <c r="Z223" s="3"/>
      <c r="AL223" s="4"/>
      <c r="AM223" s="5"/>
      <c r="AN223" s="5"/>
      <c r="AO223" s="5"/>
      <c r="AP223" s="5"/>
      <c r="AQ223" s="5"/>
      <c r="AR223" s="5"/>
      <c r="AS223" s="6"/>
      <c r="AU223" s="6"/>
      <c r="AW223" s="6"/>
      <c r="AY223" s="5"/>
      <c r="AZ223" s="5"/>
      <c r="BA223" s="5"/>
      <c r="BC223" s="6"/>
      <c r="BE223" s="6"/>
      <c r="BG223" s="6"/>
      <c r="BH223" s="5"/>
      <c r="BI223" s="5"/>
      <c r="BJ223" s="7"/>
    </row>
    <row r="224" s="1" customFormat="true" ht="14.25" hidden="false" customHeight="false" outlineLevel="0" collapsed="false">
      <c r="G224" s="2"/>
      <c r="M224" s="2"/>
      <c r="Z224" s="3"/>
      <c r="AL224" s="4"/>
      <c r="AM224" s="5"/>
      <c r="AN224" s="5"/>
      <c r="AO224" s="5"/>
      <c r="AP224" s="5"/>
      <c r="AQ224" s="5"/>
      <c r="AR224" s="5"/>
      <c r="AS224" s="6"/>
      <c r="AU224" s="6"/>
      <c r="AW224" s="6"/>
      <c r="AY224" s="5"/>
      <c r="AZ224" s="5"/>
      <c r="BA224" s="5"/>
      <c r="BC224" s="6"/>
      <c r="BE224" s="6"/>
      <c r="BG224" s="6"/>
      <c r="BH224" s="5"/>
      <c r="BI224" s="5"/>
      <c r="BJ224" s="7"/>
    </row>
    <row r="225" s="1" customFormat="true" ht="14.25" hidden="false" customHeight="false" outlineLevel="0" collapsed="false">
      <c r="G225" s="2"/>
      <c r="M225" s="2"/>
      <c r="Z225" s="3"/>
      <c r="AL225" s="4"/>
      <c r="AM225" s="5"/>
      <c r="AN225" s="5"/>
      <c r="AO225" s="5"/>
      <c r="AP225" s="5"/>
      <c r="AQ225" s="5"/>
      <c r="AR225" s="5"/>
      <c r="AS225" s="6"/>
      <c r="AU225" s="6"/>
      <c r="AW225" s="6"/>
      <c r="AY225" s="5"/>
      <c r="AZ225" s="5"/>
      <c r="BA225" s="5"/>
      <c r="BC225" s="6"/>
      <c r="BE225" s="6"/>
      <c r="BG225" s="6"/>
      <c r="BH225" s="5"/>
      <c r="BI225" s="5"/>
      <c r="BJ225" s="7"/>
    </row>
    <row r="226" s="1" customFormat="true" ht="14.25" hidden="false" customHeight="false" outlineLevel="0" collapsed="false">
      <c r="G226" s="2"/>
      <c r="M226" s="2"/>
      <c r="Z226" s="3"/>
      <c r="AL226" s="4"/>
      <c r="AM226" s="5"/>
      <c r="AN226" s="5"/>
      <c r="AO226" s="5"/>
      <c r="AP226" s="5"/>
      <c r="AQ226" s="5"/>
      <c r="AR226" s="5"/>
      <c r="AS226" s="6"/>
      <c r="AU226" s="6"/>
      <c r="AW226" s="6"/>
      <c r="AY226" s="5"/>
      <c r="AZ226" s="5"/>
      <c r="BA226" s="5"/>
      <c r="BC226" s="6"/>
      <c r="BE226" s="6"/>
      <c r="BG226" s="6"/>
      <c r="BH226" s="5"/>
      <c r="BI226" s="5"/>
      <c r="BJ226" s="7"/>
    </row>
    <row r="227" s="1" customFormat="true" ht="14.25" hidden="false" customHeight="false" outlineLevel="0" collapsed="false">
      <c r="G227" s="2"/>
      <c r="M227" s="2"/>
      <c r="Z227" s="3"/>
      <c r="AL227" s="4"/>
      <c r="AM227" s="5"/>
      <c r="AN227" s="5"/>
      <c r="AO227" s="5"/>
      <c r="AP227" s="5"/>
      <c r="AQ227" s="5"/>
      <c r="AR227" s="5"/>
      <c r="AS227" s="6"/>
      <c r="AU227" s="6"/>
      <c r="AW227" s="6"/>
      <c r="AY227" s="5"/>
      <c r="AZ227" s="5"/>
      <c r="BA227" s="5"/>
      <c r="BC227" s="6"/>
      <c r="BE227" s="6"/>
      <c r="BG227" s="6"/>
      <c r="BH227" s="5"/>
      <c r="BI227" s="5"/>
      <c r="BJ227" s="7"/>
    </row>
    <row r="228" s="1" customFormat="true" ht="14.25" hidden="false" customHeight="false" outlineLevel="0" collapsed="false">
      <c r="G228" s="2"/>
      <c r="M228" s="2"/>
      <c r="Z228" s="3"/>
      <c r="AL228" s="4"/>
      <c r="AM228" s="5"/>
      <c r="AN228" s="5"/>
      <c r="AO228" s="5"/>
      <c r="AP228" s="5"/>
      <c r="AQ228" s="5"/>
      <c r="AR228" s="5"/>
      <c r="AS228" s="6"/>
      <c r="AU228" s="6"/>
      <c r="AW228" s="6"/>
      <c r="AY228" s="5"/>
      <c r="AZ228" s="5"/>
      <c r="BA228" s="5"/>
      <c r="BC228" s="6"/>
      <c r="BE228" s="6"/>
      <c r="BG228" s="6"/>
      <c r="BH228" s="5"/>
      <c r="BI228" s="5"/>
      <c r="BJ228" s="7"/>
    </row>
    <row r="229" s="1" customFormat="true" ht="14.25" hidden="false" customHeight="false" outlineLevel="0" collapsed="false">
      <c r="G229" s="2"/>
      <c r="M229" s="2"/>
      <c r="Z229" s="3"/>
      <c r="AL229" s="4"/>
      <c r="AM229" s="5"/>
      <c r="AN229" s="5"/>
      <c r="AO229" s="5"/>
      <c r="AP229" s="5"/>
      <c r="AQ229" s="5"/>
      <c r="AR229" s="5"/>
      <c r="AS229" s="6"/>
      <c r="AU229" s="6"/>
      <c r="AW229" s="6"/>
      <c r="AY229" s="5"/>
      <c r="AZ229" s="5"/>
      <c r="BA229" s="5"/>
      <c r="BC229" s="6"/>
      <c r="BE229" s="6"/>
      <c r="BG229" s="6"/>
      <c r="BH229" s="5"/>
      <c r="BI229" s="5"/>
      <c r="BJ229" s="7"/>
    </row>
    <row r="230" s="1" customFormat="true" ht="14.25" hidden="false" customHeight="false" outlineLevel="0" collapsed="false">
      <c r="G230" s="2"/>
      <c r="M230" s="2"/>
      <c r="Z230" s="3"/>
      <c r="AL230" s="4"/>
      <c r="AM230" s="5"/>
      <c r="AN230" s="5"/>
      <c r="AO230" s="5"/>
      <c r="AP230" s="5"/>
      <c r="AQ230" s="5"/>
      <c r="AR230" s="5"/>
      <c r="AS230" s="6"/>
      <c r="AU230" s="6"/>
      <c r="AW230" s="6"/>
      <c r="AY230" s="5"/>
      <c r="AZ230" s="5"/>
      <c r="BA230" s="5"/>
      <c r="BC230" s="6"/>
      <c r="BE230" s="6"/>
      <c r="BG230" s="6"/>
      <c r="BH230" s="5"/>
      <c r="BI230" s="5"/>
      <c r="BJ230" s="7"/>
    </row>
    <row r="231" s="1" customFormat="true" ht="14.25" hidden="false" customHeight="false" outlineLevel="0" collapsed="false">
      <c r="G231" s="2"/>
      <c r="M231" s="2"/>
      <c r="Z231" s="3"/>
      <c r="AL231" s="4"/>
      <c r="AM231" s="5"/>
      <c r="AN231" s="5"/>
      <c r="AO231" s="5"/>
      <c r="AP231" s="5"/>
      <c r="AQ231" s="5"/>
      <c r="AR231" s="5"/>
      <c r="AS231" s="6"/>
      <c r="AU231" s="6"/>
      <c r="AW231" s="6"/>
      <c r="AY231" s="5"/>
      <c r="AZ231" s="5"/>
      <c r="BA231" s="5"/>
      <c r="BC231" s="6"/>
      <c r="BE231" s="6"/>
      <c r="BG231" s="6"/>
      <c r="BH231" s="5"/>
      <c r="BI231" s="5"/>
      <c r="BJ231" s="7"/>
    </row>
    <row r="232" s="1" customFormat="true" ht="14.25" hidden="false" customHeight="false" outlineLevel="0" collapsed="false">
      <c r="G232" s="2"/>
      <c r="M232" s="2"/>
      <c r="Z232" s="3"/>
      <c r="AL232" s="4"/>
      <c r="AM232" s="5"/>
      <c r="AN232" s="5"/>
      <c r="AO232" s="5"/>
      <c r="AP232" s="5"/>
      <c r="AQ232" s="5"/>
      <c r="AR232" s="5"/>
      <c r="AS232" s="6"/>
      <c r="AU232" s="6"/>
      <c r="AW232" s="6"/>
      <c r="AY232" s="5"/>
      <c r="AZ232" s="5"/>
      <c r="BA232" s="5"/>
      <c r="BC232" s="6"/>
      <c r="BE232" s="6"/>
      <c r="BG232" s="6"/>
      <c r="BH232" s="5"/>
      <c r="BI232" s="5"/>
      <c r="BJ232" s="7"/>
    </row>
    <row r="233" s="1" customFormat="true" ht="14.25" hidden="false" customHeight="false" outlineLevel="0" collapsed="false">
      <c r="G233" s="2"/>
      <c r="M233" s="2"/>
      <c r="Z233" s="3"/>
      <c r="AL233" s="4"/>
      <c r="AM233" s="5"/>
      <c r="AN233" s="5"/>
      <c r="AO233" s="5"/>
      <c r="AP233" s="5"/>
      <c r="AQ233" s="5"/>
      <c r="AR233" s="5"/>
      <c r="AS233" s="6"/>
      <c r="AU233" s="6"/>
      <c r="AW233" s="6"/>
      <c r="AY233" s="5"/>
      <c r="AZ233" s="5"/>
      <c r="BA233" s="5"/>
      <c r="BC233" s="6"/>
      <c r="BE233" s="6"/>
      <c r="BG233" s="6"/>
      <c r="BH233" s="5"/>
      <c r="BI233" s="5"/>
      <c r="BJ233" s="7"/>
    </row>
    <row r="234" s="1" customFormat="true" ht="14.25" hidden="false" customHeight="false" outlineLevel="0" collapsed="false">
      <c r="G234" s="2"/>
      <c r="M234" s="2"/>
      <c r="Z234" s="3"/>
      <c r="AL234" s="4"/>
      <c r="AM234" s="5"/>
      <c r="AN234" s="5"/>
      <c r="AO234" s="5"/>
      <c r="AP234" s="5"/>
      <c r="AQ234" s="5"/>
      <c r="AR234" s="5"/>
      <c r="AS234" s="6"/>
      <c r="AU234" s="6"/>
      <c r="AW234" s="6"/>
      <c r="AY234" s="5"/>
      <c r="AZ234" s="5"/>
      <c r="BA234" s="5"/>
      <c r="BC234" s="6"/>
      <c r="BE234" s="6"/>
      <c r="BG234" s="6"/>
      <c r="BH234" s="5"/>
      <c r="BI234" s="5"/>
      <c r="BJ234" s="7"/>
    </row>
    <row r="235" s="1" customFormat="true" ht="14.25" hidden="false" customHeight="false" outlineLevel="0" collapsed="false">
      <c r="G235" s="2"/>
      <c r="M235" s="2"/>
      <c r="Z235" s="3"/>
      <c r="AL235" s="4"/>
      <c r="AM235" s="5"/>
      <c r="AN235" s="5"/>
      <c r="AO235" s="5"/>
      <c r="AP235" s="5"/>
      <c r="AQ235" s="5"/>
      <c r="AR235" s="5"/>
      <c r="AS235" s="6"/>
      <c r="AU235" s="6"/>
      <c r="AW235" s="6"/>
      <c r="AY235" s="5"/>
      <c r="AZ235" s="5"/>
      <c r="BA235" s="5"/>
      <c r="BC235" s="6"/>
      <c r="BE235" s="6"/>
      <c r="BG235" s="6"/>
      <c r="BH235" s="5"/>
      <c r="BI235" s="5"/>
      <c r="BJ235" s="7"/>
    </row>
    <row r="236" s="1" customFormat="true" ht="14.25" hidden="false" customHeight="false" outlineLevel="0" collapsed="false">
      <c r="G236" s="2"/>
      <c r="M236" s="2"/>
      <c r="Z236" s="3"/>
      <c r="AL236" s="4"/>
      <c r="AM236" s="5"/>
      <c r="AN236" s="5"/>
      <c r="AO236" s="5"/>
      <c r="AP236" s="5"/>
      <c r="AQ236" s="5"/>
      <c r="AR236" s="5"/>
      <c r="AS236" s="6"/>
      <c r="AU236" s="6"/>
      <c r="AW236" s="6"/>
      <c r="AY236" s="5"/>
      <c r="AZ236" s="5"/>
      <c r="BA236" s="5"/>
      <c r="BC236" s="6"/>
      <c r="BE236" s="6"/>
      <c r="BG236" s="6"/>
      <c r="BH236" s="5"/>
      <c r="BI236" s="5"/>
      <c r="BJ236" s="7"/>
    </row>
    <row r="237" s="1" customFormat="true" ht="14.25" hidden="false" customHeight="false" outlineLevel="0" collapsed="false">
      <c r="G237" s="2"/>
      <c r="M237" s="2"/>
      <c r="Z237" s="3"/>
      <c r="AL237" s="4"/>
      <c r="AM237" s="5"/>
      <c r="AN237" s="5"/>
      <c r="AO237" s="5"/>
      <c r="AP237" s="5"/>
      <c r="AQ237" s="5"/>
      <c r="AR237" s="5"/>
      <c r="AS237" s="6"/>
      <c r="AU237" s="6"/>
      <c r="AW237" s="6"/>
      <c r="AY237" s="5"/>
      <c r="AZ237" s="5"/>
      <c r="BA237" s="5"/>
      <c r="BC237" s="6"/>
      <c r="BE237" s="6"/>
      <c r="BG237" s="6"/>
      <c r="BH237" s="5"/>
      <c r="BI237" s="5"/>
      <c r="BJ237" s="7"/>
    </row>
    <row r="238" s="1" customFormat="true" ht="14.25" hidden="false" customHeight="false" outlineLevel="0" collapsed="false">
      <c r="G238" s="2"/>
      <c r="M238" s="2"/>
      <c r="Z238" s="3"/>
      <c r="AL238" s="4"/>
      <c r="AM238" s="5"/>
      <c r="AN238" s="5"/>
      <c r="AO238" s="5"/>
      <c r="AP238" s="5"/>
      <c r="AQ238" s="5"/>
      <c r="AR238" s="5"/>
      <c r="AS238" s="6"/>
      <c r="AU238" s="6"/>
      <c r="AW238" s="6"/>
      <c r="AY238" s="5"/>
      <c r="AZ238" s="5"/>
      <c r="BA238" s="5"/>
      <c r="BC238" s="6"/>
      <c r="BE238" s="6"/>
      <c r="BG238" s="6"/>
      <c r="BH238" s="5"/>
      <c r="BI238" s="5"/>
      <c r="BJ238" s="7"/>
    </row>
    <row r="239" s="1" customFormat="true" ht="14.25" hidden="false" customHeight="false" outlineLevel="0" collapsed="false">
      <c r="G239" s="2"/>
      <c r="M239" s="2"/>
      <c r="Z239" s="3"/>
      <c r="AL239" s="4"/>
      <c r="AM239" s="5"/>
      <c r="AN239" s="5"/>
      <c r="AO239" s="5"/>
      <c r="AP239" s="5"/>
      <c r="AQ239" s="5"/>
      <c r="AR239" s="5"/>
      <c r="AS239" s="6"/>
      <c r="AU239" s="6"/>
      <c r="AW239" s="6"/>
      <c r="AY239" s="5"/>
      <c r="AZ239" s="5"/>
      <c r="BA239" s="5"/>
      <c r="BC239" s="6"/>
      <c r="BE239" s="6"/>
      <c r="BG239" s="6"/>
      <c r="BH239" s="5"/>
      <c r="BI239" s="5"/>
      <c r="BJ239" s="7"/>
    </row>
    <row r="240" s="1" customFormat="true" ht="14.25" hidden="false" customHeight="false" outlineLevel="0" collapsed="false">
      <c r="G240" s="2"/>
      <c r="M240" s="2"/>
      <c r="Z240" s="3"/>
      <c r="AL240" s="4"/>
      <c r="AM240" s="5"/>
      <c r="AN240" s="5"/>
      <c r="AO240" s="5"/>
      <c r="AP240" s="5"/>
      <c r="AQ240" s="5"/>
      <c r="AR240" s="5"/>
      <c r="AS240" s="6"/>
      <c r="AU240" s="6"/>
      <c r="AW240" s="6"/>
      <c r="AY240" s="5"/>
      <c r="AZ240" s="5"/>
      <c r="BA240" s="5"/>
      <c r="BC240" s="6"/>
      <c r="BE240" s="6"/>
      <c r="BG240" s="6"/>
      <c r="BH240" s="5"/>
      <c r="BI240" s="5"/>
      <c r="BJ240" s="7"/>
    </row>
    <row r="241" s="1" customFormat="true" ht="14.25" hidden="false" customHeight="false" outlineLevel="0" collapsed="false">
      <c r="G241" s="2"/>
      <c r="M241" s="2"/>
      <c r="Z241" s="3"/>
      <c r="AL241" s="4"/>
      <c r="AM241" s="5"/>
      <c r="AN241" s="5"/>
      <c r="AO241" s="5"/>
      <c r="AP241" s="5"/>
      <c r="AQ241" s="5"/>
      <c r="AR241" s="5"/>
      <c r="AS241" s="6"/>
      <c r="AU241" s="6"/>
      <c r="AW241" s="6"/>
      <c r="AY241" s="5"/>
      <c r="AZ241" s="5"/>
      <c r="BA241" s="5"/>
      <c r="BC241" s="6"/>
      <c r="BE241" s="6"/>
      <c r="BG241" s="6"/>
      <c r="BH241" s="5"/>
      <c r="BI241" s="5"/>
      <c r="BJ241" s="7"/>
    </row>
    <row r="242" s="1" customFormat="true" ht="14.25" hidden="false" customHeight="false" outlineLevel="0" collapsed="false">
      <c r="G242" s="2"/>
      <c r="M242" s="2"/>
      <c r="Z242" s="3"/>
      <c r="AL242" s="4"/>
      <c r="AM242" s="5"/>
      <c r="AN242" s="5"/>
      <c r="AO242" s="5"/>
      <c r="AP242" s="5"/>
      <c r="AQ242" s="5"/>
      <c r="AR242" s="5"/>
      <c r="AS242" s="6"/>
      <c r="AU242" s="6"/>
      <c r="AW242" s="6"/>
      <c r="AY242" s="5"/>
      <c r="AZ242" s="5"/>
      <c r="BA242" s="5"/>
      <c r="BC242" s="6"/>
      <c r="BE242" s="6"/>
      <c r="BG242" s="6"/>
      <c r="BH242" s="5"/>
      <c r="BI242" s="5"/>
      <c r="BJ242" s="7"/>
    </row>
    <row r="243" s="1" customFormat="true" ht="14.25" hidden="false" customHeight="false" outlineLevel="0" collapsed="false">
      <c r="G243" s="2"/>
      <c r="M243" s="2"/>
      <c r="Z243" s="3"/>
      <c r="AL243" s="4"/>
      <c r="AM243" s="5"/>
      <c r="AN243" s="5"/>
      <c r="AO243" s="5"/>
      <c r="AP243" s="5"/>
      <c r="AQ243" s="5"/>
      <c r="AR243" s="5"/>
      <c r="AS243" s="6"/>
      <c r="AU243" s="6"/>
      <c r="AW243" s="6"/>
      <c r="AY243" s="5"/>
      <c r="AZ243" s="5"/>
      <c r="BA243" s="5"/>
      <c r="BC243" s="6"/>
      <c r="BE243" s="6"/>
      <c r="BG243" s="6"/>
      <c r="BH243" s="5"/>
      <c r="BI243" s="5"/>
      <c r="BJ243" s="7"/>
    </row>
    <row r="244" s="1" customFormat="true" ht="14.25" hidden="false" customHeight="false" outlineLevel="0" collapsed="false">
      <c r="G244" s="2"/>
      <c r="M244" s="2"/>
      <c r="Z244" s="3"/>
      <c r="AL244" s="4"/>
      <c r="AM244" s="5"/>
      <c r="AN244" s="5"/>
      <c r="AO244" s="5"/>
      <c r="AP244" s="5"/>
      <c r="AQ244" s="5"/>
      <c r="AR244" s="5"/>
      <c r="AS244" s="6"/>
      <c r="AU244" s="6"/>
      <c r="AW244" s="6"/>
      <c r="AY244" s="5"/>
      <c r="AZ244" s="5"/>
      <c r="BA244" s="5"/>
      <c r="BC244" s="6"/>
      <c r="BE244" s="6"/>
      <c r="BG244" s="6"/>
      <c r="BH244" s="5"/>
      <c r="BI244" s="5"/>
      <c r="BJ244" s="7"/>
    </row>
    <row r="245" s="1" customFormat="true" ht="14.25" hidden="false" customHeight="false" outlineLevel="0" collapsed="false">
      <c r="G245" s="2"/>
      <c r="M245" s="2"/>
      <c r="Z245" s="3"/>
      <c r="AL245" s="4"/>
      <c r="AM245" s="5"/>
      <c r="AN245" s="5"/>
      <c r="AO245" s="5"/>
      <c r="AP245" s="5"/>
      <c r="AQ245" s="5"/>
      <c r="AR245" s="5"/>
      <c r="AS245" s="6"/>
      <c r="AU245" s="6"/>
      <c r="AW245" s="6"/>
      <c r="AY245" s="5"/>
      <c r="AZ245" s="5"/>
      <c r="BA245" s="5"/>
      <c r="BC245" s="6"/>
      <c r="BE245" s="6"/>
      <c r="BG245" s="6"/>
      <c r="BH245" s="5"/>
      <c r="BI245" s="5"/>
      <c r="BJ245" s="7"/>
    </row>
    <row r="246" s="1" customFormat="true" ht="14.25" hidden="false" customHeight="false" outlineLevel="0" collapsed="false">
      <c r="G246" s="2"/>
      <c r="M246" s="2"/>
      <c r="Z246" s="3"/>
      <c r="AL246" s="4"/>
      <c r="AM246" s="5"/>
      <c r="AN246" s="5"/>
      <c r="AO246" s="5"/>
      <c r="AP246" s="5"/>
      <c r="AQ246" s="5"/>
      <c r="AR246" s="5"/>
      <c r="AS246" s="6"/>
      <c r="AU246" s="6"/>
      <c r="AW246" s="6"/>
      <c r="AY246" s="5"/>
      <c r="AZ246" s="5"/>
      <c r="BA246" s="5"/>
      <c r="BC246" s="6"/>
      <c r="BE246" s="6"/>
      <c r="BG246" s="6"/>
      <c r="BH246" s="5"/>
      <c r="BI246" s="5"/>
      <c r="BJ246" s="7"/>
    </row>
    <row r="247" s="1" customFormat="true" ht="14.25" hidden="false" customHeight="false" outlineLevel="0" collapsed="false">
      <c r="G247" s="2"/>
      <c r="M247" s="2"/>
      <c r="Z247" s="3"/>
      <c r="AL247" s="4"/>
      <c r="AM247" s="5"/>
      <c r="AN247" s="5"/>
      <c r="AO247" s="5"/>
      <c r="AP247" s="5"/>
      <c r="AQ247" s="5"/>
      <c r="AR247" s="5"/>
      <c r="AS247" s="6"/>
      <c r="AU247" s="6"/>
      <c r="AW247" s="6"/>
      <c r="AY247" s="5"/>
      <c r="AZ247" s="5"/>
      <c r="BA247" s="5"/>
      <c r="BC247" s="6"/>
      <c r="BE247" s="6"/>
      <c r="BG247" s="6"/>
      <c r="BH247" s="5"/>
      <c r="BI247" s="5"/>
      <c r="BJ247" s="7"/>
    </row>
    <row r="248" s="1" customFormat="true" ht="14.25" hidden="false" customHeight="false" outlineLevel="0" collapsed="false">
      <c r="G248" s="2"/>
      <c r="M248" s="2"/>
      <c r="Z248" s="3"/>
      <c r="AL248" s="4"/>
      <c r="AM248" s="5"/>
      <c r="AN248" s="5"/>
      <c r="AO248" s="5"/>
      <c r="AP248" s="5"/>
      <c r="AQ248" s="5"/>
      <c r="AR248" s="5"/>
      <c r="AS248" s="6"/>
      <c r="AU248" s="6"/>
      <c r="AW248" s="6"/>
      <c r="AY248" s="5"/>
      <c r="AZ248" s="5"/>
      <c r="BA248" s="5"/>
      <c r="BC248" s="6"/>
      <c r="BE248" s="6"/>
      <c r="BG248" s="6"/>
      <c r="BH248" s="5"/>
      <c r="BI248" s="5"/>
      <c r="BJ248" s="7"/>
    </row>
    <row r="249" s="1" customFormat="true" ht="14.25" hidden="false" customHeight="false" outlineLevel="0" collapsed="false">
      <c r="G249" s="2"/>
      <c r="M249" s="2"/>
      <c r="Z249" s="3"/>
      <c r="AL249" s="4"/>
      <c r="AM249" s="5"/>
      <c r="AN249" s="5"/>
      <c r="AO249" s="5"/>
      <c r="AP249" s="5"/>
      <c r="AQ249" s="5"/>
      <c r="AR249" s="5"/>
      <c r="AS249" s="6"/>
      <c r="AU249" s="6"/>
      <c r="AW249" s="6"/>
      <c r="AY249" s="5"/>
      <c r="AZ249" s="5"/>
      <c r="BA249" s="5"/>
      <c r="BC249" s="6"/>
      <c r="BE249" s="6"/>
      <c r="BG249" s="6"/>
      <c r="BH249" s="5"/>
      <c r="BI249" s="5"/>
      <c r="BJ249" s="7"/>
    </row>
    <row r="250" s="1" customFormat="true" ht="14.25" hidden="false" customHeight="false" outlineLevel="0" collapsed="false">
      <c r="G250" s="2"/>
      <c r="M250" s="2"/>
      <c r="Z250" s="3"/>
      <c r="AL250" s="4"/>
      <c r="AM250" s="5"/>
      <c r="AN250" s="5"/>
      <c r="AO250" s="5"/>
      <c r="AP250" s="5"/>
      <c r="AQ250" s="5"/>
      <c r="AR250" s="5"/>
      <c r="AS250" s="6"/>
      <c r="AU250" s="6"/>
      <c r="AW250" s="6"/>
      <c r="AY250" s="5"/>
      <c r="AZ250" s="5"/>
      <c r="BA250" s="5"/>
      <c r="BC250" s="6"/>
      <c r="BE250" s="6"/>
      <c r="BG250" s="6"/>
      <c r="BH250" s="5"/>
      <c r="BI250" s="5"/>
      <c r="BJ250" s="7"/>
    </row>
    <row r="251" s="1" customFormat="true" ht="14.25" hidden="false" customHeight="false" outlineLevel="0" collapsed="false">
      <c r="G251" s="2"/>
      <c r="M251" s="2"/>
      <c r="Z251" s="3"/>
      <c r="AL251" s="4"/>
      <c r="AM251" s="5"/>
      <c r="AN251" s="5"/>
      <c r="AO251" s="5"/>
      <c r="AP251" s="5"/>
      <c r="AQ251" s="5"/>
      <c r="AR251" s="5"/>
      <c r="AS251" s="6"/>
      <c r="AU251" s="6"/>
      <c r="AW251" s="6"/>
      <c r="AY251" s="5"/>
      <c r="AZ251" s="5"/>
      <c r="BA251" s="5"/>
      <c r="BC251" s="6"/>
      <c r="BE251" s="6"/>
      <c r="BG251" s="6"/>
      <c r="BH251" s="5"/>
      <c r="BI251" s="5"/>
      <c r="BJ251" s="7"/>
    </row>
    <row r="252" s="1" customFormat="true" ht="14.25" hidden="false" customHeight="false" outlineLevel="0" collapsed="false">
      <c r="G252" s="2"/>
      <c r="M252" s="2"/>
      <c r="Z252" s="3"/>
      <c r="AL252" s="4"/>
      <c r="AM252" s="5"/>
      <c r="AN252" s="5"/>
      <c r="AO252" s="5"/>
      <c r="AP252" s="5"/>
      <c r="AQ252" s="5"/>
      <c r="AR252" s="5"/>
      <c r="AS252" s="6"/>
      <c r="AU252" s="6"/>
      <c r="AW252" s="6"/>
      <c r="AY252" s="5"/>
      <c r="AZ252" s="5"/>
      <c r="BA252" s="5"/>
      <c r="BC252" s="6"/>
      <c r="BE252" s="6"/>
      <c r="BG252" s="6"/>
      <c r="BH252" s="5"/>
      <c r="BI252" s="5"/>
      <c r="BJ252" s="7"/>
    </row>
    <row r="253" s="1" customFormat="true" ht="14.25" hidden="false" customHeight="false" outlineLevel="0" collapsed="false">
      <c r="G253" s="2"/>
      <c r="M253" s="2"/>
      <c r="Z253" s="3"/>
      <c r="AL253" s="4"/>
      <c r="AM253" s="5"/>
      <c r="AN253" s="5"/>
      <c r="AO253" s="5"/>
      <c r="AP253" s="5"/>
      <c r="AQ253" s="5"/>
      <c r="AR253" s="5"/>
      <c r="AS253" s="6"/>
      <c r="AU253" s="6"/>
      <c r="AW253" s="6"/>
      <c r="AY253" s="5"/>
      <c r="AZ253" s="5"/>
      <c r="BA253" s="5"/>
      <c r="BC253" s="6"/>
      <c r="BE253" s="6"/>
      <c r="BG253" s="6"/>
      <c r="BH253" s="5"/>
      <c r="BI253" s="5"/>
      <c r="BJ253" s="7"/>
    </row>
    <row r="254" s="1" customFormat="true" ht="14.25" hidden="false" customHeight="false" outlineLevel="0" collapsed="false">
      <c r="G254" s="2"/>
      <c r="M254" s="2"/>
      <c r="Z254" s="3"/>
      <c r="AL254" s="4"/>
      <c r="AM254" s="5"/>
      <c r="AN254" s="5"/>
      <c r="AO254" s="5"/>
      <c r="AP254" s="5"/>
      <c r="AQ254" s="5"/>
      <c r="AR254" s="5"/>
      <c r="AS254" s="6"/>
      <c r="AU254" s="6"/>
      <c r="AW254" s="6"/>
      <c r="AY254" s="5"/>
      <c r="AZ254" s="5"/>
      <c r="BA254" s="5"/>
      <c r="BC254" s="6"/>
      <c r="BE254" s="6"/>
      <c r="BG254" s="6"/>
      <c r="BH254" s="5"/>
      <c r="BI254" s="5"/>
      <c r="BJ254" s="7"/>
    </row>
    <row r="255" s="1" customFormat="true" ht="14.25" hidden="false" customHeight="false" outlineLevel="0" collapsed="false">
      <c r="G255" s="2"/>
      <c r="M255" s="2"/>
      <c r="Z255" s="3"/>
      <c r="AL255" s="4"/>
      <c r="AM255" s="5"/>
      <c r="AN255" s="5"/>
      <c r="AO255" s="5"/>
      <c r="AP255" s="5"/>
      <c r="AQ255" s="5"/>
      <c r="AR255" s="5"/>
      <c r="AS255" s="6"/>
      <c r="AU255" s="6"/>
      <c r="AW255" s="6"/>
      <c r="AY255" s="5"/>
      <c r="AZ255" s="5"/>
      <c r="BA255" s="5"/>
      <c r="BC255" s="6"/>
      <c r="BE255" s="6"/>
      <c r="BG255" s="6"/>
      <c r="BH255" s="5"/>
      <c r="BI255" s="5"/>
      <c r="BJ255" s="7"/>
    </row>
    <row r="256" s="1" customFormat="true" ht="14.25" hidden="false" customHeight="false" outlineLevel="0" collapsed="false">
      <c r="G256" s="2"/>
      <c r="M256" s="2"/>
      <c r="Z256" s="3"/>
      <c r="AL256" s="4"/>
      <c r="AM256" s="5"/>
      <c r="AN256" s="5"/>
      <c r="AO256" s="5"/>
      <c r="AP256" s="5"/>
      <c r="AQ256" s="5"/>
      <c r="AR256" s="5"/>
      <c r="AS256" s="6"/>
      <c r="AU256" s="6"/>
      <c r="AW256" s="6"/>
      <c r="AY256" s="5"/>
      <c r="AZ256" s="5"/>
      <c r="BA256" s="5"/>
      <c r="BC256" s="6"/>
      <c r="BE256" s="6"/>
      <c r="BG256" s="6"/>
      <c r="BH256" s="5"/>
      <c r="BI256" s="5"/>
      <c r="BJ256" s="7"/>
    </row>
    <row r="257" s="1" customFormat="true" ht="14.25" hidden="false" customHeight="false" outlineLevel="0" collapsed="false">
      <c r="G257" s="2"/>
      <c r="M257" s="2"/>
      <c r="Z257" s="3"/>
      <c r="AL257" s="4"/>
      <c r="AM257" s="5"/>
      <c r="AN257" s="5"/>
      <c r="AO257" s="5"/>
      <c r="AP257" s="5"/>
      <c r="AQ257" s="5"/>
      <c r="AR257" s="5"/>
      <c r="AS257" s="6"/>
      <c r="AU257" s="6"/>
      <c r="AW257" s="6"/>
      <c r="AY257" s="5"/>
      <c r="AZ257" s="5"/>
      <c r="BA257" s="5"/>
      <c r="BC257" s="6"/>
      <c r="BE257" s="6"/>
      <c r="BG257" s="6"/>
      <c r="BH257" s="5"/>
      <c r="BI257" s="5"/>
      <c r="BJ257" s="7"/>
    </row>
    <row r="258" s="1" customFormat="true" ht="14.25" hidden="false" customHeight="false" outlineLevel="0" collapsed="false">
      <c r="G258" s="2"/>
      <c r="M258" s="2"/>
      <c r="Z258" s="3"/>
      <c r="AL258" s="4"/>
      <c r="AM258" s="5"/>
      <c r="AN258" s="5"/>
      <c r="AO258" s="5"/>
      <c r="AP258" s="5"/>
      <c r="AQ258" s="5"/>
      <c r="AR258" s="5"/>
      <c r="AS258" s="6"/>
      <c r="AU258" s="6"/>
      <c r="AW258" s="6"/>
      <c r="AY258" s="5"/>
      <c r="AZ258" s="5"/>
      <c r="BA258" s="5"/>
      <c r="BC258" s="6"/>
      <c r="BE258" s="6"/>
      <c r="BG258" s="6"/>
      <c r="BH258" s="5"/>
      <c r="BI258" s="5"/>
      <c r="BJ258" s="7"/>
    </row>
    <row r="259" s="1" customFormat="true" ht="14.25" hidden="false" customHeight="false" outlineLevel="0" collapsed="false">
      <c r="G259" s="2"/>
      <c r="M259" s="2"/>
      <c r="Z259" s="3"/>
      <c r="AL259" s="4"/>
      <c r="AM259" s="5"/>
      <c r="AN259" s="5"/>
      <c r="AO259" s="5"/>
      <c r="AP259" s="5"/>
      <c r="AQ259" s="5"/>
      <c r="AR259" s="5"/>
      <c r="AS259" s="6"/>
      <c r="AU259" s="6"/>
      <c r="AW259" s="6"/>
      <c r="AY259" s="5"/>
      <c r="AZ259" s="5"/>
      <c r="BA259" s="5"/>
      <c r="BC259" s="6"/>
      <c r="BE259" s="6"/>
      <c r="BG259" s="6"/>
      <c r="BH259" s="5"/>
      <c r="BI259" s="5"/>
      <c r="BJ259" s="7"/>
    </row>
    <row r="260" s="1" customFormat="true" ht="14.25" hidden="false" customHeight="false" outlineLevel="0" collapsed="false">
      <c r="G260" s="2"/>
      <c r="M260" s="2"/>
      <c r="Z260" s="3"/>
      <c r="AL260" s="4"/>
      <c r="AM260" s="5"/>
      <c r="AN260" s="5"/>
      <c r="AO260" s="5"/>
      <c r="AP260" s="5"/>
      <c r="AQ260" s="5"/>
      <c r="AR260" s="5"/>
      <c r="AS260" s="6"/>
      <c r="AU260" s="6"/>
      <c r="AW260" s="6"/>
      <c r="AY260" s="5"/>
      <c r="AZ260" s="5"/>
      <c r="BA260" s="5"/>
      <c r="BC260" s="6"/>
      <c r="BE260" s="6"/>
      <c r="BG260" s="6"/>
      <c r="BH260" s="5"/>
      <c r="BI260" s="5"/>
      <c r="BJ260" s="7"/>
    </row>
    <row r="261" s="1" customFormat="true" ht="14.25" hidden="false" customHeight="false" outlineLevel="0" collapsed="false">
      <c r="G261" s="2"/>
      <c r="M261" s="2"/>
      <c r="Z261" s="3"/>
      <c r="AL261" s="4"/>
      <c r="AM261" s="5"/>
      <c r="AN261" s="5"/>
      <c r="AO261" s="5"/>
      <c r="AP261" s="5"/>
      <c r="AQ261" s="5"/>
      <c r="AR261" s="5"/>
      <c r="AS261" s="6"/>
      <c r="AU261" s="6"/>
      <c r="AW261" s="6"/>
      <c r="AY261" s="5"/>
      <c r="AZ261" s="5"/>
      <c r="BA261" s="5"/>
      <c r="BC261" s="6"/>
      <c r="BE261" s="6"/>
      <c r="BG261" s="6"/>
      <c r="BH261" s="5"/>
      <c r="BI261" s="5"/>
      <c r="BJ261" s="7"/>
    </row>
    <row r="262" s="1" customFormat="true" ht="14.25" hidden="false" customHeight="false" outlineLevel="0" collapsed="false">
      <c r="G262" s="2"/>
      <c r="M262" s="2"/>
      <c r="Z262" s="3"/>
      <c r="AL262" s="4"/>
      <c r="AM262" s="5"/>
      <c r="AN262" s="5"/>
      <c r="AO262" s="5"/>
      <c r="AP262" s="5"/>
      <c r="AQ262" s="5"/>
      <c r="AR262" s="5"/>
      <c r="AS262" s="6"/>
      <c r="AU262" s="6"/>
      <c r="AW262" s="6"/>
      <c r="AY262" s="5"/>
      <c r="AZ262" s="5"/>
      <c r="BA262" s="5"/>
      <c r="BC262" s="6"/>
      <c r="BE262" s="6"/>
      <c r="BG262" s="6"/>
      <c r="BH262" s="5"/>
      <c r="BI262" s="5"/>
      <c r="BJ262" s="7"/>
    </row>
    <row r="263" s="1" customFormat="true" ht="14.25" hidden="false" customHeight="false" outlineLevel="0" collapsed="false">
      <c r="G263" s="2"/>
      <c r="M263" s="2"/>
      <c r="Z263" s="3"/>
      <c r="AL263" s="4"/>
      <c r="AM263" s="5"/>
      <c r="AN263" s="5"/>
      <c r="AO263" s="5"/>
      <c r="AP263" s="5"/>
      <c r="AQ263" s="5"/>
      <c r="AR263" s="5"/>
      <c r="AS263" s="6"/>
      <c r="AU263" s="6"/>
      <c r="AW263" s="6"/>
      <c r="AY263" s="5"/>
      <c r="AZ263" s="5"/>
      <c r="BA263" s="5"/>
      <c r="BC263" s="6"/>
      <c r="BE263" s="6"/>
      <c r="BG263" s="6"/>
      <c r="BH263" s="5"/>
      <c r="BI263" s="5"/>
      <c r="BJ263" s="7"/>
    </row>
    <row r="264" s="1" customFormat="true" ht="14.25" hidden="false" customHeight="false" outlineLevel="0" collapsed="false">
      <c r="G264" s="2"/>
      <c r="M264" s="2"/>
      <c r="Z264" s="3"/>
      <c r="AL264" s="4"/>
      <c r="AM264" s="5"/>
      <c r="AN264" s="5"/>
      <c r="AO264" s="5"/>
      <c r="AP264" s="5"/>
      <c r="AQ264" s="5"/>
      <c r="AR264" s="5"/>
      <c r="AS264" s="6"/>
      <c r="AU264" s="6"/>
      <c r="AW264" s="6"/>
      <c r="AY264" s="5"/>
      <c r="AZ264" s="5"/>
      <c r="BA264" s="5"/>
      <c r="BC264" s="6"/>
      <c r="BE264" s="6"/>
      <c r="BG264" s="6"/>
      <c r="BH264" s="5"/>
      <c r="BI264" s="5"/>
      <c r="BJ264" s="7"/>
    </row>
    <row r="265" s="1" customFormat="true" ht="14.25" hidden="false" customHeight="false" outlineLevel="0" collapsed="false">
      <c r="G265" s="2"/>
      <c r="M265" s="2"/>
      <c r="Z265" s="3"/>
      <c r="AL265" s="4"/>
      <c r="AM265" s="5"/>
      <c r="AN265" s="5"/>
      <c r="AO265" s="5"/>
      <c r="AP265" s="5"/>
      <c r="AQ265" s="5"/>
      <c r="AR265" s="5"/>
      <c r="AS265" s="6"/>
      <c r="AU265" s="6"/>
      <c r="AW265" s="6"/>
      <c r="AY265" s="5"/>
      <c r="AZ265" s="5"/>
      <c r="BA265" s="5"/>
      <c r="BC265" s="6"/>
      <c r="BE265" s="6"/>
      <c r="BG265" s="6"/>
      <c r="BH265" s="5"/>
      <c r="BI265" s="5"/>
      <c r="BJ265" s="7"/>
    </row>
    <row r="266" s="1" customFormat="true" ht="14.25" hidden="false" customHeight="false" outlineLevel="0" collapsed="false">
      <c r="G266" s="2"/>
      <c r="M266" s="2"/>
      <c r="Z266" s="3"/>
      <c r="AL266" s="4"/>
      <c r="AM266" s="5"/>
      <c r="AN266" s="5"/>
      <c r="AO266" s="5"/>
      <c r="AP266" s="5"/>
      <c r="AQ266" s="5"/>
      <c r="AR266" s="5"/>
      <c r="AS266" s="6"/>
      <c r="AU266" s="6"/>
      <c r="AW266" s="6"/>
      <c r="AY266" s="5"/>
      <c r="AZ266" s="5"/>
      <c r="BA266" s="5"/>
      <c r="BC266" s="6"/>
      <c r="BE266" s="6"/>
      <c r="BG266" s="6"/>
      <c r="BH266" s="5"/>
      <c r="BI266" s="5"/>
      <c r="BJ266" s="7"/>
    </row>
    <row r="267" s="1" customFormat="true" ht="14.25" hidden="false" customHeight="false" outlineLevel="0" collapsed="false">
      <c r="G267" s="2"/>
      <c r="M267" s="2"/>
      <c r="Z267" s="3"/>
      <c r="AL267" s="4"/>
      <c r="AM267" s="5"/>
      <c r="AN267" s="5"/>
      <c r="AO267" s="5"/>
      <c r="AP267" s="5"/>
      <c r="AQ267" s="5"/>
      <c r="AR267" s="5"/>
      <c r="AS267" s="6"/>
      <c r="AU267" s="6"/>
      <c r="AW267" s="6"/>
      <c r="AY267" s="5"/>
      <c r="AZ267" s="5"/>
      <c r="BA267" s="5"/>
      <c r="BC267" s="6"/>
      <c r="BE267" s="6"/>
      <c r="BG267" s="6"/>
      <c r="BH267" s="5"/>
      <c r="BI267" s="5"/>
      <c r="BJ267" s="7"/>
    </row>
    <row r="268" s="1" customFormat="true" ht="14.25" hidden="false" customHeight="false" outlineLevel="0" collapsed="false">
      <c r="G268" s="2"/>
      <c r="M268" s="2"/>
      <c r="Z268" s="3"/>
      <c r="AL268" s="4"/>
      <c r="AM268" s="5"/>
      <c r="AN268" s="5"/>
      <c r="AO268" s="5"/>
      <c r="AP268" s="5"/>
      <c r="AQ268" s="5"/>
      <c r="AR268" s="5"/>
      <c r="AS268" s="6"/>
      <c r="AU268" s="6"/>
      <c r="AW268" s="6"/>
      <c r="AY268" s="5"/>
      <c r="AZ268" s="5"/>
      <c r="BA268" s="5"/>
      <c r="BC268" s="6"/>
      <c r="BE268" s="6"/>
      <c r="BG268" s="6"/>
      <c r="BH268" s="5"/>
      <c r="BI268" s="5"/>
      <c r="BJ268" s="7"/>
    </row>
    <row r="269" s="1" customFormat="true" ht="14.25" hidden="false" customHeight="false" outlineLevel="0" collapsed="false">
      <c r="G269" s="2"/>
      <c r="M269" s="2"/>
      <c r="Z269" s="3"/>
      <c r="AL269" s="4"/>
      <c r="AM269" s="5"/>
      <c r="AN269" s="5"/>
      <c r="AO269" s="5"/>
      <c r="AP269" s="5"/>
      <c r="AQ269" s="5"/>
      <c r="AR269" s="5"/>
      <c r="AS269" s="6"/>
      <c r="AU269" s="6"/>
      <c r="AW269" s="6"/>
      <c r="AY269" s="5"/>
      <c r="AZ269" s="5"/>
      <c r="BA269" s="5"/>
      <c r="BC269" s="6"/>
      <c r="BE269" s="6"/>
      <c r="BG269" s="6"/>
      <c r="BH269" s="5"/>
      <c r="BI269" s="5"/>
      <c r="BJ269" s="7"/>
    </row>
    <row r="270" s="1" customFormat="true" ht="14.25" hidden="false" customHeight="false" outlineLevel="0" collapsed="false">
      <c r="G270" s="2"/>
      <c r="M270" s="2"/>
      <c r="Z270" s="3"/>
      <c r="AL270" s="4"/>
      <c r="AM270" s="5"/>
      <c r="AN270" s="5"/>
      <c r="AO270" s="5"/>
      <c r="AP270" s="5"/>
      <c r="AQ270" s="5"/>
      <c r="AR270" s="5"/>
      <c r="AS270" s="6"/>
      <c r="AU270" s="6"/>
      <c r="AW270" s="6"/>
      <c r="AY270" s="5"/>
      <c r="AZ270" s="5"/>
      <c r="BA270" s="5"/>
      <c r="BC270" s="6"/>
      <c r="BE270" s="6"/>
      <c r="BG270" s="6"/>
      <c r="BH270" s="5"/>
      <c r="BI270" s="5"/>
      <c r="BJ270" s="7"/>
    </row>
    <row r="271" s="1" customFormat="true" ht="14.25" hidden="false" customHeight="false" outlineLevel="0" collapsed="false">
      <c r="G271" s="2"/>
      <c r="M271" s="2"/>
      <c r="Z271" s="3"/>
      <c r="AL271" s="4"/>
      <c r="AM271" s="5"/>
      <c r="AN271" s="5"/>
      <c r="AO271" s="5"/>
      <c r="AP271" s="5"/>
      <c r="AQ271" s="5"/>
      <c r="AR271" s="5"/>
      <c r="AS271" s="6"/>
      <c r="AU271" s="6"/>
      <c r="AW271" s="6"/>
      <c r="AY271" s="5"/>
      <c r="AZ271" s="5"/>
      <c r="BA271" s="5"/>
      <c r="BC271" s="6"/>
      <c r="BE271" s="6"/>
      <c r="BG271" s="6"/>
      <c r="BH271" s="5"/>
      <c r="BI271" s="5"/>
      <c r="BJ271" s="7"/>
    </row>
    <row r="272" s="1" customFormat="true" ht="14.25" hidden="false" customHeight="false" outlineLevel="0" collapsed="false">
      <c r="G272" s="2"/>
      <c r="M272" s="2"/>
      <c r="Z272" s="3"/>
      <c r="AL272" s="4"/>
      <c r="AM272" s="5"/>
      <c r="AN272" s="5"/>
      <c r="AO272" s="5"/>
      <c r="AP272" s="5"/>
      <c r="AQ272" s="5"/>
      <c r="AR272" s="5"/>
      <c r="AS272" s="6"/>
      <c r="AU272" s="6"/>
      <c r="AW272" s="6"/>
      <c r="AY272" s="5"/>
      <c r="AZ272" s="5"/>
      <c r="BA272" s="5"/>
      <c r="BC272" s="6"/>
      <c r="BE272" s="6"/>
      <c r="BG272" s="6"/>
      <c r="BH272" s="5"/>
      <c r="BI272" s="5"/>
      <c r="BJ272" s="7"/>
    </row>
    <row r="273" s="1" customFormat="true" ht="14.25" hidden="false" customHeight="false" outlineLevel="0" collapsed="false">
      <c r="G273" s="2"/>
      <c r="M273" s="2"/>
      <c r="Z273" s="3"/>
      <c r="AL273" s="4"/>
      <c r="AM273" s="5"/>
      <c r="AN273" s="5"/>
      <c r="AO273" s="5"/>
      <c r="AP273" s="5"/>
      <c r="AQ273" s="5"/>
      <c r="AR273" s="5"/>
      <c r="AS273" s="6"/>
      <c r="AU273" s="6"/>
      <c r="AW273" s="6"/>
      <c r="AY273" s="5"/>
      <c r="AZ273" s="5"/>
      <c r="BA273" s="5"/>
      <c r="BC273" s="6"/>
      <c r="BE273" s="6"/>
      <c r="BG273" s="6"/>
      <c r="BH273" s="5"/>
      <c r="BI273" s="5"/>
      <c r="BJ273" s="7"/>
    </row>
    <row r="274" s="1" customFormat="true" ht="14.25" hidden="false" customHeight="false" outlineLevel="0" collapsed="false">
      <c r="G274" s="2"/>
      <c r="M274" s="2"/>
      <c r="Z274" s="3"/>
      <c r="AL274" s="4"/>
      <c r="AM274" s="5"/>
      <c r="AN274" s="5"/>
      <c r="AO274" s="5"/>
      <c r="AP274" s="5"/>
      <c r="AQ274" s="5"/>
      <c r="AR274" s="5"/>
      <c r="AS274" s="6"/>
      <c r="AU274" s="6"/>
      <c r="AW274" s="6"/>
      <c r="AY274" s="5"/>
      <c r="AZ274" s="5"/>
      <c r="BA274" s="5"/>
      <c r="BC274" s="6"/>
      <c r="BE274" s="6"/>
      <c r="BG274" s="6"/>
      <c r="BH274" s="5"/>
      <c r="BI274" s="5"/>
      <c r="BJ274" s="7"/>
    </row>
    <row r="275" s="1" customFormat="true" ht="14.25" hidden="false" customHeight="false" outlineLevel="0" collapsed="false">
      <c r="G275" s="2"/>
      <c r="M275" s="2"/>
      <c r="Z275" s="3"/>
      <c r="AL275" s="4"/>
      <c r="AM275" s="5"/>
      <c r="AN275" s="5"/>
      <c r="AO275" s="5"/>
      <c r="AP275" s="5"/>
      <c r="AQ275" s="5"/>
      <c r="AR275" s="5"/>
      <c r="AS275" s="6"/>
      <c r="AU275" s="6"/>
      <c r="AW275" s="6"/>
      <c r="AY275" s="5"/>
      <c r="AZ275" s="5"/>
      <c r="BA275" s="5"/>
      <c r="BC275" s="6"/>
      <c r="BE275" s="6"/>
      <c r="BG275" s="6"/>
      <c r="BH275" s="5"/>
      <c r="BI275" s="5"/>
      <c r="BJ275" s="7"/>
    </row>
    <row r="276" s="1" customFormat="true" ht="14.25" hidden="false" customHeight="false" outlineLevel="0" collapsed="false">
      <c r="G276" s="2"/>
      <c r="M276" s="2"/>
      <c r="Z276" s="3"/>
      <c r="AL276" s="4"/>
      <c r="AM276" s="5"/>
      <c r="AN276" s="5"/>
      <c r="AO276" s="5"/>
      <c r="AP276" s="5"/>
      <c r="AQ276" s="5"/>
      <c r="AR276" s="5"/>
      <c r="AS276" s="6"/>
      <c r="AU276" s="6"/>
      <c r="AW276" s="6"/>
      <c r="AY276" s="5"/>
      <c r="AZ276" s="5"/>
      <c r="BA276" s="5"/>
      <c r="BC276" s="6"/>
      <c r="BE276" s="6"/>
      <c r="BG276" s="6"/>
      <c r="BH276" s="5"/>
      <c r="BI276" s="5"/>
      <c r="BJ276" s="7"/>
    </row>
    <row r="277" s="1" customFormat="true" ht="14.25" hidden="false" customHeight="false" outlineLevel="0" collapsed="false">
      <c r="G277" s="2"/>
      <c r="M277" s="2"/>
      <c r="Z277" s="3"/>
      <c r="AL277" s="4"/>
      <c r="AM277" s="5"/>
      <c r="AN277" s="5"/>
      <c r="AO277" s="5"/>
      <c r="AP277" s="5"/>
      <c r="AQ277" s="5"/>
      <c r="AR277" s="5"/>
      <c r="AS277" s="6"/>
      <c r="AU277" s="6"/>
      <c r="AW277" s="6"/>
      <c r="AY277" s="5"/>
      <c r="AZ277" s="5"/>
      <c r="BA277" s="5"/>
      <c r="BC277" s="6"/>
      <c r="BE277" s="6"/>
      <c r="BG277" s="6"/>
      <c r="BH277" s="5"/>
      <c r="BI277" s="5"/>
      <c r="BJ277" s="7"/>
    </row>
    <row r="278" s="1" customFormat="true" ht="14.25" hidden="false" customHeight="false" outlineLevel="0" collapsed="false">
      <c r="G278" s="2"/>
      <c r="M278" s="2"/>
      <c r="Z278" s="3"/>
      <c r="AL278" s="4"/>
      <c r="AM278" s="5"/>
      <c r="AN278" s="5"/>
      <c r="AO278" s="5"/>
      <c r="AP278" s="5"/>
      <c r="AQ278" s="5"/>
      <c r="AR278" s="5"/>
      <c r="AS278" s="6"/>
      <c r="AU278" s="6"/>
      <c r="AW278" s="6"/>
      <c r="AY278" s="5"/>
      <c r="AZ278" s="5"/>
      <c r="BA278" s="5"/>
      <c r="BC278" s="6"/>
      <c r="BE278" s="6"/>
      <c r="BG278" s="6"/>
      <c r="BH278" s="5"/>
      <c r="BI278" s="5"/>
      <c r="BJ278" s="7"/>
    </row>
    <row r="279" s="1" customFormat="true" ht="14.25" hidden="false" customHeight="false" outlineLevel="0" collapsed="false">
      <c r="G279" s="2"/>
      <c r="M279" s="2"/>
      <c r="Z279" s="3"/>
      <c r="AL279" s="4"/>
      <c r="AM279" s="5"/>
      <c r="AN279" s="5"/>
      <c r="AO279" s="5"/>
      <c r="AP279" s="5"/>
      <c r="AQ279" s="5"/>
      <c r="AR279" s="5"/>
      <c r="AS279" s="6"/>
      <c r="AU279" s="6"/>
      <c r="AW279" s="6"/>
      <c r="AY279" s="5"/>
      <c r="AZ279" s="5"/>
      <c r="BA279" s="5"/>
      <c r="BC279" s="6"/>
      <c r="BE279" s="6"/>
      <c r="BG279" s="6"/>
      <c r="BH279" s="5"/>
      <c r="BI279" s="5"/>
      <c r="BJ279" s="7"/>
    </row>
    <row r="280" s="1" customFormat="true" ht="14.25" hidden="false" customHeight="false" outlineLevel="0" collapsed="false">
      <c r="G280" s="2"/>
      <c r="M280" s="2"/>
      <c r="Z280" s="3"/>
      <c r="AL280" s="4"/>
      <c r="AM280" s="5"/>
      <c r="AN280" s="5"/>
      <c r="AO280" s="5"/>
      <c r="AP280" s="5"/>
      <c r="AQ280" s="5"/>
      <c r="AR280" s="5"/>
      <c r="AS280" s="6"/>
      <c r="AU280" s="6"/>
      <c r="AW280" s="6"/>
      <c r="AY280" s="5"/>
      <c r="AZ280" s="5"/>
      <c r="BA280" s="5"/>
      <c r="BC280" s="6"/>
      <c r="BE280" s="6"/>
      <c r="BG280" s="6"/>
      <c r="BH280" s="5"/>
      <c r="BI280" s="5"/>
      <c r="BJ280" s="7"/>
    </row>
    <row r="281" s="1" customFormat="true" ht="14.25" hidden="false" customHeight="false" outlineLevel="0" collapsed="false">
      <c r="G281" s="2"/>
      <c r="M281" s="2"/>
      <c r="Z281" s="3"/>
      <c r="AL281" s="4"/>
      <c r="AM281" s="5"/>
      <c r="AN281" s="5"/>
      <c r="AO281" s="5"/>
      <c r="AP281" s="5"/>
      <c r="AQ281" s="5"/>
      <c r="AR281" s="5"/>
      <c r="AS281" s="6"/>
      <c r="AU281" s="6"/>
      <c r="AW281" s="6"/>
      <c r="AY281" s="5"/>
      <c r="AZ281" s="5"/>
      <c r="BA281" s="5"/>
      <c r="BC281" s="6"/>
      <c r="BE281" s="6"/>
      <c r="BG281" s="6"/>
      <c r="BH281" s="5"/>
      <c r="BI281" s="5"/>
      <c r="BJ281" s="7"/>
    </row>
    <row r="282" s="1" customFormat="true" ht="14.25" hidden="false" customHeight="false" outlineLevel="0" collapsed="false">
      <c r="G282" s="2"/>
      <c r="M282" s="2"/>
      <c r="Z282" s="3"/>
      <c r="AL282" s="4"/>
      <c r="AM282" s="5"/>
      <c r="AN282" s="5"/>
      <c r="AO282" s="5"/>
      <c r="AP282" s="5"/>
      <c r="AQ282" s="5"/>
      <c r="AR282" s="5"/>
      <c r="AS282" s="6"/>
      <c r="AU282" s="6"/>
      <c r="AW282" s="6"/>
      <c r="AY282" s="5"/>
      <c r="AZ282" s="5"/>
      <c r="BA282" s="5"/>
      <c r="BC282" s="6"/>
      <c r="BE282" s="6"/>
      <c r="BG282" s="6"/>
      <c r="BH282" s="5"/>
      <c r="BI282" s="5"/>
      <c r="BJ282" s="7"/>
    </row>
    <row r="283" s="1" customFormat="true" ht="14.25" hidden="false" customHeight="false" outlineLevel="0" collapsed="false">
      <c r="G283" s="2"/>
      <c r="M283" s="2"/>
      <c r="Z283" s="3"/>
      <c r="AL283" s="4"/>
      <c r="AM283" s="5"/>
      <c r="AN283" s="5"/>
      <c r="AO283" s="5"/>
      <c r="AP283" s="5"/>
      <c r="AQ283" s="5"/>
      <c r="AR283" s="5"/>
      <c r="AS283" s="6"/>
      <c r="AU283" s="6"/>
      <c r="AW283" s="6"/>
      <c r="AY283" s="5"/>
      <c r="AZ283" s="5"/>
      <c r="BA283" s="5"/>
      <c r="BC283" s="6"/>
      <c r="BE283" s="6"/>
      <c r="BG283" s="6"/>
      <c r="BH283" s="5"/>
      <c r="BI283" s="5"/>
      <c r="BJ283" s="7"/>
    </row>
    <row r="284" s="1" customFormat="true" ht="14.25" hidden="false" customHeight="false" outlineLevel="0" collapsed="false">
      <c r="G284" s="2"/>
      <c r="M284" s="2"/>
      <c r="Z284" s="3"/>
      <c r="AL284" s="4"/>
      <c r="AM284" s="5"/>
      <c r="AN284" s="5"/>
      <c r="AO284" s="5"/>
      <c r="AP284" s="5"/>
      <c r="AQ284" s="5"/>
      <c r="AR284" s="5"/>
      <c r="AS284" s="6"/>
      <c r="AU284" s="6"/>
      <c r="AW284" s="6"/>
      <c r="AY284" s="5"/>
      <c r="AZ284" s="5"/>
      <c r="BA284" s="5"/>
      <c r="BC284" s="6"/>
      <c r="BE284" s="6"/>
      <c r="BG284" s="6"/>
      <c r="BH284" s="5"/>
      <c r="BI284" s="5"/>
      <c r="BJ284" s="7"/>
    </row>
    <row r="285" s="1" customFormat="true" ht="14.25" hidden="false" customHeight="false" outlineLevel="0" collapsed="false">
      <c r="G285" s="2"/>
      <c r="M285" s="2"/>
      <c r="Z285" s="3"/>
      <c r="AL285" s="4"/>
      <c r="AM285" s="5"/>
      <c r="AN285" s="5"/>
      <c r="AO285" s="5"/>
      <c r="AP285" s="5"/>
      <c r="AQ285" s="5"/>
      <c r="AR285" s="5"/>
      <c r="AS285" s="6"/>
      <c r="AU285" s="6"/>
      <c r="AW285" s="6"/>
      <c r="AY285" s="5"/>
      <c r="AZ285" s="5"/>
      <c r="BA285" s="5"/>
      <c r="BC285" s="6"/>
      <c r="BE285" s="6"/>
      <c r="BG285" s="6"/>
      <c r="BH285" s="5"/>
      <c r="BI285" s="5"/>
      <c r="BJ285" s="7"/>
    </row>
    <row r="286" s="1" customFormat="true" ht="14.25" hidden="false" customHeight="false" outlineLevel="0" collapsed="false">
      <c r="G286" s="2"/>
      <c r="M286" s="2"/>
      <c r="Z286" s="3"/>
      <c r="AL286" s="4"/>
      <c r="AM286" s="5"/>
      <c r="AN286" s="5"/>
      <c r="AO286" s="5"/>
      <c r="AP286" s="5"/>
      <c r="AQ286" s="5"/>
      <c r="AR286" s="5"/>
      <c r="AS286" s="6"/>
      <c r="AU286" s="6"/>
      <c r="AW286" s="6"/>
      <c r="AY286" s="5"/>
      <c r="AZ286" s="5"/>
      <c r="BA286" s="5"/>
      <c r="BC286" s="6"/>
      <c r="BE286" s="6"/>
      <c r="BG286" s="6"/>
      <c r="BH286" s="5"/>
      <c r="BI286" s="5"/>
      <c r="BJ286" s="7"/>
    </row>
    <row r="287" s="1" customFormat="true" ht="14.25" hidden="false" customHeight="false" outlineLevel="0" collapsed="false">
      <c r="G287" s="2"/>
      <c r="M287" s="2"/>
      <c r="Z287" s="3"/>
      <c r="AL287" s="4"/>
      <c r="AM287" s="5"/>
      <c r="AN287" s="5"/>
      <c r="AO287" s="5"/>
      <c r="AP287" s="5"/>
      <c r="AQ287" s="5"/>
      <c r="AR287" s="5"/>
      <c r="AS287" s="6"/>
      <c r="AU287" s="6"/>
      <c r="AW287" s="6"/>
      <c r="AY287" s="5"/>
      <c r="AZ287" s="5"/>
      <c r="BA287" s="5"/>
      <c r="BC287" s="6"/>
      <c r="BE287" s="6"/>
      <c r="BG287" s="6"/>
      <c r="BH287" s="5"/>
      <c r="BI287" s="5"/>
      <c r="BJ287" s="7"/>
    </row>
    <row r="288" s="1" customFormat="true" ht="14.25" hidden="false" customHeight="false" outlineLevel="0" collapsed="false">
      <c r="G288" s="2"/>
      <c r="M288" s="2"/>
      <c r="Z288" s="3"/>
      <c r="AL288" s="4"/>
      <c r="AM288" s="5"/>
      <c r="AN288" s="5"/>
      <c r="AO288" s="5"/>
      <c r="AP288" s="5"/>
      <c r="AQ288" s="5"/>
      <c r="AR288" s="5"/>
      <c r="AS288" s="6"/>
      <c r="AU288" s="6"/>
      <c r="AW288" s="6"/>
      <c r="AY288" s="5"/>
      <c r="AZ288" s="5"/>
      <c r="BA288" s="5"/>
      <c r="BC288" s="6"/>
      <c r="BE288" s="6"/>
      <c r="BG288" s="6"/>
      <c r="BH288" s="5"/>
      <c r="BI288" s="5"/>
      <c r="BJ288" s="7"/>
    </row>
    <row r="289" s="1" customFormat="true" ht="14.25" hidden="false" customHeight="false" outlineLevel="0" collapsed="false">
      <c r="G289" s="2"/>
      <c r="M289" s="2"/>
      <c r="Z289" s="3"/>
      <c r="AL289" s="4"/>
      <c r="AM289" s="5"/>
      <c r="AN289" s="5"/>
      <c r="AO289" s="5"/>
      <c r="AP289" s="5"/>
      <c r="AQ289" s="5"/>
      <c r="AR289" s="5"/>
      <c r="AS289" s="6"/>
      <c r="AU289" s="6"/>
      <c r="AW289" s="6"/>
      <c r="AY289" s="5"/>
      <c r="AZ289" s="5"/>
      <c r="BA289" s="5"/>
      <c r="BC289" s="6"/>
      <c r="BE289" s="6"/>
      <c r="BG289" s="6"/>
      <c r="BH289" s="5"/>
      <c r="BI289" s="5"/>
      <c r="BJ289" s="7"/>
    </row>
    <row r="290" s="1" customFormat="true" ht="14.25" hidden="false" customHeight="false" outlineLevel="0" collapsed="false">
      <c r="G290" s="2"/>
      <c r="M290" s="2"/>
      <c r="Z290" s="3"/>
      <c r="AL290" s="4"/>
      <c r="AM290" s="5"/>
      <c r="AN290" s="5"/>
      <c r="AO290" s="5"/>
      <c r="AP290" s="5"/>
      <c r="AQ290" s="5"/>
      <c r="AR290" s="5"/>
      <c r="AS290" s="6"/>
      <c r="AU290" s="6"/>
      <c r="AW290" s="6"/>
      <c r="AY290" s="5"/>
      <c r="AZ290" s="5"/>
      <c r="BA290" s="5"/>
      <c r="BC290" s="6"/>
      <c r="BE290" s="6"/>
      <c r="BG290" s="6"/>
      <c r="BH290" s="5"/>
      <c r="BI290" s="5"/>
      <c r="BJ290" s="7"/>
    </row>
    <row r="291" s="1" customFormat="true" ht="14.25" hidden="false" customHeight="false" outlineLevel="0" collapsed="false">
      <c r="G291" s="2"/>
      <c r="M291" s="2"/>
      <c r="Z291" s="3"/>
      <c r="AL291" s="4"/>
      <c r="AM291" s="5"/>
      <c r="AN291" s="5"/>
      <c r="AO291" s="5"/>
      <c r="AP291" s="5"/>
      <c r="AQ291" s="5"/>
      <c r="AR291" s="5"/>
      <c r="AS291" s="6"/>
      <c r="AU291" s="6"/>
      <c r="AW291" s="6"/>
      <c r="AY291" s="5"/>
      <c r="AZ291" s="5"/>
      <c r="BA291" s="5"/>
      <c r="BC291" s="6"/>
      <c r="BE291" s="6"/>
      <c r="BG291" s="6"/>
      <c r="BH291" s="5"/>
      <c r="BI291" s="5"/>
      <c r="BJ291" s="7"/>
    </row>
    <row r="292" s="1" customFormat="true" ht="14.25" hidden="false" customHeight="false" outlineLevel="0" collapsed="false">
      <c r="G292" s="2"/>
      <c r="M292" s="2"/>
      <c r="Z292" s="3"/>
      <c r="AL292" s="4"/>
      <c r="AM292" s="5"/>
      <c r="AN292" s="5"/>
      <c r="AO292" s="5"/>
      <c r="AP292" s="5"/>
      <c r="AQ292" s="5"/>
      <c r="AR292" s="5"/>
      <c r="AS292" s="6"/>
      <c r="AU292" s="6"/>
      <c r="AW292" s="6"/>
      <c r="AY292" s="5"/>
      <c r="AZ292" s="5"/>
      <c r="BA292" s="5"/>
      <c r="BC292" s="6"/>
      <c r="BE292" s="6"/>
      <c r="BG292" s="6"/>
      <c r="BH292" s="5"/>
      <c r="BI292" s="5"/>
      <c r="BJ292" s="7"/>
    </row>
    <row r="293" s="1" customFormat="true" ht="14.25" hidden="false" customHeight="false" outlineLevel="0" collapsed="false">
      <c r="G293" s="2"/>
      <c r="M293" s="2"/>
      <c r="Z293" s="3"/>
      <c r="AL293" s="4"/>
      <c r="AM293" s="5"/>
      <c r="AN293" s="5"/>
      <c r="AO293" s="5"/>
      <c r="AP293" s="5"/>
      <c r="AQ293" s="5"/>
      <c r="AR293" s="5"/>
      <c r="AS293" s="6"/>
      <c r="AU293" s="6"/>
      <c r="AW293" s="6"/>
      <c r="AY293" s="5"/>
      <c r="AZ293" s="5"/>
      <c r="BA293" s="5"/>
      <c r="BC293" s="6"/>
      <c r="BE293" s="6"/>
      <c r="BG293" s="6"/>
      <c r="BH293" s="5"/>
      <c r="BI293" s="5"/>
      <c r="BJ293" s="7"/>
    </row>
    <row r="294" s="1" customFormat="true" ht="14.25" hidden="false" customHeight="false" outlineLevel="0" collapsed="false">
      <c r="G294" s="2"/>
      <c r="M294" s="2"/>
      <c r="Z294" s="3"/>
      <c r="AL294" s="4"/>
      <c r="AM294" s="5"/>
      <c r="AN294" s="5"/>
      <c r="AO294" s="5"/>
      <c r="AP294" s="5"/>
      <c r="AQ294" s="5"/>
      <c r="AR294" s="5"/>
      <c r="AS294" s="6"/>
      <c r="AU294" s="6"/>
      <c r="AW294" s="6"/>
      <c r="AY294" s="5"/>
      <c r="AZ294" s="5"/>
      <c r="BA294" s="5"/>
      <c r="BC294" s="6"/>
      <c r="BE294" s="6"/>
      <c r="BG294" s="6"/>
      <c r="BH294" s="5"/>
      <c r="BI294" s="5"/>
      <c r="BJ294" s="7"/>
    </row>
    <row r="295" s="1" customFormat="true" ht="14.25" hidden="false" customHeight="false" outlineLevel="0" collapsed="false">
      <c r="G295" s="2"/>
      <c r="M295" s="2"/>
      <c r="Z295" s="3"/>
      <c r="AL295" s="4"/>
      <c r="AM295" s="5"/>
      <c r="AN295" s="5"/>
      <c r="AO295" s="5"/>
      <c r="AP295" s="5"/>
      <c r="AQ295" s="5"/>
      <c r="AR295" s="5"/>
      <c r="AS295" s="6"/>
      <c r="AU295" s="6"/>
      <c r="AW295" s="6"/>
      <c r="AY295" s="5"/>
      <c r="AZ295" s="5"/>
      <c r="BA295" s="5"/>
      <c r="BC295" s="6"/>
      <c r="BE295" s="6"/>
      <c r="BG295" s="6"/>
      <c r="BH295" s="5"/>
      <c r="BI295" s="5"/>
      <c r="BJ295" s="7"/>
    </row>
    <row r="296" s="1" customFormat="true" ht="14.25" hidden="false" customHeight="false" outlineLevel="0" collapsed="false">
      <c r="G296" s="2"/>
      <c r="M296" s="2"/>
      <c r="Z296" s="3"/>
      <c r="AL296" s="4"/>
      <c r="AM296" s="5"/>
      <c r="AN296" s="5"/>
      <c r="AO296" s="5"/>
      <c r="AP296" s="5"/>
      <c r="AQ296" s="5"/>
      <c r="AR296" s="5"/>
      <c r="AS296" s="6"/>
      <c r="AU296" s="6"/>
      <c r="AW296" s="6"/>
      <c r="AY296" s="5"/>
      <c r="AZ296" s="5"/>
      <c r="BA296" s="5"/>
      <c r="BC296" s="6"/>
      <c r="BE296" s="6"/>
      <c r="BG296" s="6"/>
      <c r="BH296" s="5"/>
      <c r="BI296" s="5"/>
      <c r="BJ296" s="7"/>
    </row>
    <row r="297" s="1" customFormat="true" ht="14.25" hidden="false" customHeight="false" outlineLevel="0" collapsed="false">
      <c r="G297" s="2"/>
      <c r="M297" s="2"/>
      <c r="Z297" s="3"/>
      <c r="AL297" s="4"/>
      <c r="AM297" s="5"/>
      <c r="AN297" s="5"/>
      <c r="AO297" s="5"/>
      <c r="AP297" s="5"/>
      <c r="AQ297" s="5"/>
      <c r="AR297" s="5"/>
      <c r="AS297" s="6"/>
      <c r="AU297" s="6"/>
      <c r="AW297" s="6"/>
      <c r="AY297" s="5"/>
      <c r="AZ297" s="5"/>
      <c r="BA297" s="5"/>
      <c r="BC297" s="6"/>
      <c r="BE297" s="6"/>
      <c r="BG297" s="6"/>
      <c r="BH297" s="5"/>
      <c r="BI297" s="5"/>
      <c r="BJ297" s="7"/>
    </row>
    <row r="298" s="1" customFormat="true" ht="14.25" hidden="false" customHeight="false" outlineLevel="0" collapsed="false">
      <c r="G298" s="2"/>
      <c r="M298" s="2"/>
      <c r="Z298" s="3"/>
      <c r="AL298" s="4"/>
      <c r="AM298" s="5"/>
      <c r="AN298" s="5"/>
      <c r="AO298" s="5"/>
      <c r="AP298" s="5"/>
      <c r="AQ298" s="5"/>
      <c r="AR298" s="5"/>
      <c r="AS298" s="6"/>
      <c r="AU298" s="6"/>
      <c r="AW298" s="6"/>
      <c r="AY298" s="5"/>
      <c r="AZ298" s="5"/>
      <c r="BA298" s="5"/>
      <c r="BC298" s="6"/>
      <c r="BE298" s="6"/>
      <c r="BG298" s="6"/>
      <c r="BH298" s="5"/>
      <c r="BI298" s="5"/>
      <c r="BJ298" s="7"/>
    </row>
    <row r="299" s="1" customFormat="true" ht="14.25" hidden="false" customHeight="false" outlineLevel="0" collapsed="false">
      <c r="G299" s="2"/>
      <c r="M299" s="2"/>
      <c r="Z299" s="3"/>
      <c r="AL299" s="4"/>
      <c r="AM299" s="5"/>
      <c r="AN299" s="5"/>
      <c r="AO299" s="5"/>
      <c r="AP299" s="5"/>
      <c r="AQ299" s="5"/>
      <c r="AR299" s="5"/>
      <c r="AS299" s="6"/>
      <c r="AU299" s="6"/>
      <c r="AW299" s="6"/>
      <c r="AY299" s="5"/>
      <c r="AZ299" s="5"/>
      <c r="BA299" s="5"/>
      <c r="BC299" s="6"/>
      <c r="BE299" s="6"/>
      <c r="BG299" s="6"/>
      <c r="BH299" s="5"/>
      <c r="BI299" s="5"/>
      <c r="BJ299" s="7"/>
    </row>
    <row r="300" s="1" customFormat="true" ht="14.25" hidden="false" customHeight="false" outlineLevel="0" collapsed="false">
      <c r="G300" s="2"/>
      <c r="M300" s="2"/>
      <c r="Z300" s="3"/>
      <c r="AL300" s="4"/>
      <c r="AM300" s="5"/>
      <c r="AN300" s="5"/>
      <c r="AO300" s="5"/>
      <c r="AP300" s="5"/>
      <c r="AQ300" s="5"/>
      <c r="AR300" s="5"/>
      <c r="AS300" s="6"/>
      <c r="AU300" s="6"/>
      <c r="AW300" s="6"/>
      <c r="AY300" s="5"/>
      <c r="AZ300" s="5"/>
      <c r="BA300" s="5"/>
      <c r="BC300" s="6"/>
      <c r="BE300" s="6"/>
      <c r="BG300" s="6"/>
      <c r="BH300" s="5"/>
      <c r="BI300" s="5"/>
      <c r="BJ300" s="7"/>
    </row>
    <row r="301" s="1" customFormat="true" ht="14.25" hidden="false" customHeight="false" outlineLevel="0" collapsed="false">
      <c r="G301" s="2"/>
      <c r="M301" s="2"/>
      <c r="Z301" s="3"/>
      <c r="AL301" s="4"/>
      <c r="AM301" s="5"/>
      <c r="AN301" s="5"/>
      <c r="AO301" s="5"/>
      <c r="AP301" s="5"/>
      <c r="AQ301" s="5"/>
      <c r="AR301" s="5"/>
      <c r="AS301" s="6"/>
      <c r="AU301" s="6"/>
      <c r="AW301" s="6"/>
      <c r="AY301" s="5"/>
      <c r="AZ301" s="5"/>
      <c r="BA301" s="5"/>
      <c r="BC301" s="6"/>
      <c r="BE301" s="6"/>
      <c r="BG301" s="6"/>
      <c r="BH301" s="5"/>
      <c r="BI301" s="5"/>
      <c r="BJ301" s="7"/>
    </row>
    <row r="302" s="1" customFormat="true" ht="14.25" hidden="false" customHeight="false" outlineLevel="0" collapsed="false">
      <c r="G302" s="2"/>
      <c r="M302" s="2"/>
      <c r="Z302" s="3"/>
      <c r="AL302" s="4"/>
      <c r="AM302" s="5"/>
      <c r="AN302" s="5"/>
      <c r="AO302" s="5"/>
      <c r="AP302" s="5"/>
      <c r="AQ302" s="5"/>
      <c r="AR302" s="5"/>
      <c r="AS302" s="6"/>
      <c r="AU302" s="6"/>
      <c r="AW302" s="6"/>
      <c r="AY302" s="5"/>
      <c r="AZ302" s="5"/>
      <c r="BA302" s="5"/>
      <c r="BC302" s="6"/>
      <c r="BE302" s="6"/>
      <c r="BG302" s="6"/>
      <c r="BH302" s="5"/>
      <c r="BI302" s="5"/>
      <c r="BJ302" s="7"/>
    </row>
    <row r="303" s="1" customFormat="true" ht="14.25" hidden="false" customHeight="false" outlineLevel="0" collapsed="false">
      <c r="G303" s="2"/>
      <c r="M303" s="2"/>
      <c r="Z303" s="3"/>
      <c r="AL303" s="4"/>
      <c r="AM303" s="5"/>
      <c r="AN303" s="5"/>
      <c r="AO303" s="5"/>
      <c r="AP303" s="5"/>
      <c r="AQ303" s="5"/>
      <c r="AR303" s="5"/>
      <c r="AS303" s="6"/>
      <c r="AU303" s="6"/>
      <c r="AW303" s="6"/>
      <c r="AY303" s="5"/>
      <c r="AZ303" s="5"/>
      <c r="BA303" s="5"/>
      <c r="BC303" s="6"/>
      <c r="BE303" s="6"/>
      <c r="BG303" s="6"/>
      <c r="BH303" s="5"/>
      <c r="BI303" s="5"/>
      <c r="BJ303" s="7"/>
    </row>
    <row r="304" s="1" customFormat="true" ht="14.25" hidden="false" customHeight="false" outlineLevel="0" collapsed="false">
      <c r="G304" s="2"/>
      <c r="M304" s="2"/>
      <c r="Z304" s="3"/>
      <c r="AL304" s="4"/>
      <c r="AM304" s="5"/>
      <c r="AN304" s="5"/>
      <c r="AO304" s="5"/>
      <c r="AP304" s="5"/>
      <c r="AQ304" s="5"/>
      <c r="AR304" s="5"/>
      <c r="AS304" s="6"/>
      <c r="AU304" s="6"/>
      <c r="AW304" s="6"/>
      <c r="AY304" s="5"/>
      <c r="AZ304" s="5"/>
      <c r="BA304" s="5"/>
      <c r="BC304" s="6"/>
      <c r="BE304" s="6"/>
      <c r="BG304" s="6"/>
      <c r="BH304" s="5"/>
      <c r="BI304" s="5"/>
      <c r="BJ304" s="7"/>
    </row>
    <row r="305" s="1" customFormat="true" ht="14.25" hidden="false" customHeight="false" outlineLevel="0" collapsed="false">
      <c r="G305" s="2"/>
      <c r="M305" s="2"/>
      <c r="Z305" s="3"/>
      <c r="AL305" s="4"/>
      <c r="AM305" s="5"/>
      <c r="AN305" s="5"/>
      <c r="AO305" s="5"/>
      <c r="AP305" s="5"/>
      <c r="AQ305" s="5"/>
      <c r="AR305" s="5"/>
      <c r="AS305" s="6"/>
      <c r="AU305" s="6"/>
      <c r="AW305" s="6"/>
      <c r="AY305" s="5"/>
      <c r="AZ305" s="5"/>
      <c r="BA305" s="5"/>
      <c r="BC305" s="6"/>
      <c r="BE305" s="6"/>
      <c r="BG305" s="6"/>
      <c r="BH305" s="5"/>
      <c r="BI305" s="5"/>
      <c r="BJ305" s="7"/>
    </row>
    <row r="306" s="1" customFormat="true" ht="14.25" hidden="false" customHeight="false" outlineLevel="0" collapsed="false">
      <c r="G306" s="2"/>
      <c r="M306" s="2"/>
      <c r="Z306" s="3"/>
      <c r="AL306" s="4"/>
      <c r="AM306" s="5"/>
      <c r="AN306" s="5"/>
      <c r="AO306" s="5"/>
      <c r="AP306" s="5"/>
      <c r="AQ306" s="5"/>
      <c r="AR306" s="5"/>
      <c r="AS306" s="6"/>
      <c r="AU306" s="6"/>
      <c r="AW306" s="6"/>
      <c r="AY306" s="5"/>
      <c r="AZ306" s="5"/>
      <c r="BA306" s="5"/>
      <c r="BC306" s="6"/>
      <c r="BE306" s="6"/>
      <c r="BG306" s="6"/>
      <c r="BH306" s="5"/>
      <c r="BI306" s="5"/>
      <c r="BJ306" s="7"/>
    </row>
    <row r="307" s="1" customFormat="true" ht="14.25" hidden="false" customHeight="false" outlineLevel="0" collapsed="false">
      <c r="G307" s="2"/>
      <c r="M307" s="2"/>
      <c r="Z307" s="3"/>
      <c r="AL307" s="4"/>
      <c r="AM307" s="5"/>
      <c r="AN307" s="5"/>
      <c r="AO307" s="5"/>
      <c r="AP307" s="5"/>
      <c r="AQ307" s="5"/>
      <c r="AR307" s="5"/>
      <c r="AS307" s="6"/>
      <c r="AU307" s="6"/>
      <c r="AW307" s="6"/>
      <c r="AY307" s="5"/>
      <c r="AZ307" s="5"/>
      <c r="BA307" s="5"/>
      <c r="BC307" s="6"/>
      <c r="BE307" s="6"/>
      <c r="BG307" s="6"/>
      <c r="BH307" s="5"/>
      <c r="BI307" s="5"/>
      <c r="BJ307" s="7"/>
    </row>
    <row r="308" s="1" customFormat="true" ht="14.25" hidden="false" customHeight="false" outlineLevel="0" collapsed="false">
      <c r="G308" s="2"/>
      <c r="M308" s="2"/>
      <c r="Z308" s="3"/>
      <c r="AL308" s="4"/>
      <c r="AM308" s="5"/>
      <c r="AN308" s="5"/>
      <c r="AO308" s="5"/>
      <c r="AP308" s="5"/>
      <c r="AQ308" s="5"/>
      <c r="AR308" s="5"/>
      <c r="AS308" s="6"/>
      <c r="AU308" s="6"/>
      <c r="AW308" s="6"/>
      <c r="AY308" s="5"/>
      <c r="AZ308" s="5"/>
      <c r="BA308" s="5"/>
      <c r="BC308" s="6"/>
      <c r="BE308" s="6"/>
      <c r="BG308" s="6"/>
      <c r="BH308" s="5"/>
      <c r="BI308" s="5"/>
      <c r="BJ308" s="7"/>
    </row>
    <row r="309" s="1" customFormat="true" ht="14.25" hidden="false" customHeight="false" outlineLevel="0" collapsed="false">
      <c r="G309" s="2"/>
      <c r="M309" s="2"/>
      <c r="Z309" s="3"/>
      <c r="AL309" s="4"/>
      <c r="AM309" s="5"/>
      <c r="AN309" s="5"/>
      <c r="AO309" s="5"/>
      <c r="AP309" s="5"/>
      <c r="AQ309" s="5"/>
      <c r="AR309" s="5"/>
      <c r="AS309" s="6"/>
      <c r="AU309" s="6"/>
      <c r="AW309" s="6"/>
      <c r="AY309" s="5"/>
      <c r="AZ309" s="5"/>
      <c r="BA309" s="5"/>
      <c r="BC309" s="6"/>
      <c r="BE309" s="6"/>
      <c r="BG309" s="6"/>
      <c r="BH309" s="5"/>
      <c r="BI309" s="5"/>
      <c r="BJ309" s="7"/>
    </row>
    <row r="310" s="1" customFormat="true" ht="14.25" hidden="false" customHeight="false" outlineLevel="0" collapsed="false">
      <c r="G310" s="2"/>
      <c r="M310" s="2"/>
      <c r="Z310" s="3"/>
      <c r="AL310" s="4"/>
      <c r="AM310" s="5"/>
      <c r="AN310" s="5"/>
      <c r="AO310" s="5"/>
      <c r="AP310" s="5"/>
      <c r="AQ310" s="5"/>
      <c r="AR310" s="5"/>
      <c r="AS310" s="6"/>
      <c r="AU310" s="6"/>
      <c r="AW310" s="6"/>
      <c r="AY310" s="5"/>
      <c r="AZ310" s="5"/>
      <c r="BA310" s="5"/>
      <c r="BC310" s="6"/>
      <c r="BE310" s="6"/>
      <c r="BG310" s="6"/>
      <c r="BH310" s="5"/>
      <c r="BI310" s="5"/>
      <c r="BJ310" s="7"/>
    </row>
    <row r="311" s="1" customFormat="true" ht="14.25" hidden="false" customHeight="false" outlineLevel="0" collapsed="false">
      <c r="G311" s="2"/>
      <c r="M311" s="2"/>
      <c r="Z311" s="3"/>
      <c r="AL311" s="4"/>
      <c r="AM311" s="5"/>
      <c r="AN311" s="5"/>
      <c r="AO311" s="5"/>
      <c r="AP311" s="5"/>
      <c r="AQ311" s="5"/>
      <c r="AR311" s="5"/>
      <c r="AS311" s="6"/>
      <c r="AU311" s="6"/>
      <c r="AW311" s="6"/>
      <c r="AY311" s="5"/>
      <c r="AZ311" s="5"/>
      <c r="BA311" s="5"/>
      <c r="BC311" s="6"/>
      <c r="BE311" s="6"/>
      <c r="BG311" s="6"/>
      <c r="BH311" s="5"/>
      <c r="BI311" s="5"/>
      <c r="BJ311" s="7"/>
    </row>
    <row r="312" s="1" customFormat="true" ht="14.25" hidden="false" customHeight="false" outlineLevel="0" collapsed="false">
      <c r="G312" s="2"/>
      <c r="M312" s="2"/>
      <c r="Z312" s="3"/>
      <c r="AL312" s="4"/>
      <c r="AM312" s="5"/>
      <c r="AN312" s="5"/>
      <c r="AO312" s="5"/>
      <c r="AP312" s="5"/>
      <c r="AQ312" s="5"/>
      <c r="AR312" s="5"/>
      <c r="AS312" s="6"/>
      <c r="AU312" s="6"/>
      <c r="AW312" s="6"/>
      <c r="AY312" s="5"/>
      <c r="AZ312" s="5"/>
      <c r="BA312" s="5"/>
      <c r="BC312" s="6"/>
      <c r="BE312" s="6"/>
      <c r="BG312" s="6"/>
      <c r="BH312" s="5"/>
      <c r="BI312" s="5"/>
      <c r="BJ312" s="7"/>
    </row>
    <row r="313" s="1" customFormat="true" ht="14.25" hidden="false" customHeight="false" outlineLevel="0" collapsed="false">
      <c r="G313" s="2"/>
      <c r="M313" s="2"/>
      <c r="Z313" s="3"/>
      <c r="AL313" s="4"/>
      <c r="AM313" s="5"/>
      <c r="AN313" s="5"/>
      <c r="AO313" s="5"/>
      <c r="AP313" s="5"/>
      <c r="AQ313" s="5"/>
      <c r="AR313" s="5"/>
      <c r="AS313" s="6"/>
      <c r="AU313" s="6"/>
      <c r="AW313" s="6"/>
      <c r="AY313" s="5"/>
      <c r="AZ313" s="5"/>
      <c r="BA313" s="5"/>
      <c r="BC313" s="6"/>
      <c r="BE313" s="6"/>
      <c r="BG313" s="6"/>
      <c r="BH313" s="5"/>
      <c r="BI313" s="5"/>
      <c r="BJ313" s="7"/>
    </row>
    <row r="314" s="1" customFormat="true" ht="14.25" hidden="false" customHeight="false" outlineLevel="0" collapsed="false">
      <c r="G314" s="2"/>
      <c r="M314" s="2"/>
      <c r="Z314" s="3"/>
      <c r="AL314" s="4"/>
      <c r="AM314" s="5"/>
      <c r="AN314" s="5"/>
      <c r="AO314" s="5"/>
      <c r="AP314" s="5"/>
      <c r="AQ314" s="5"/>
      <c r="AR314" s="5"/>
      <c r="AS314" s="6"/>
      <c r="AU314" s="6"/>
      <c r="AW314" s="6"/>
      <c r="AY314" s="5"/>
      <c r="AZ314" s="5"/>
      <c r="BA314" s="5"/>
      <c r="BC314" s="6"/>
      <c r="BE314" s="6"/>
      <c r="BG314" s="6"/>
      <c r="BH314" s="5"/>
      <c r="BI314" s="5"/>
      <c r="BJ314" s="7"/>
    </row>
    <row r="315" s="1" customFormat="true" ht="14.25" hidden="false" customHeight="false" outlineLevel="0" collapsed="false">
      <c r="G315" s="2"/>
      <c r="M315" s="2"/>
      <c r="Z315" s="3"/>
      <c r="AL315" s="4"/>
      <c r="AM315" s="5"/>
      <c r="AN315" s="5"/>
      <c r="AO315" s="5"/>
      <c r="AP315" s="5"/>
      <c r="AQ315" s="5"/>
      <c r="AR315" s="5"/>
      <c r="AS315" s="6"/>
      <c r="AU315" s="6"/>
      <c r="AW315" s="6"/>
      <c r="AY315" s="5"/>
      <c r="AZ315" s="5"/>
      <c r="BA315" s="5"/>
      <c r="BC315" s="6"/>
      <c r="BE315" s="6"/>
      <c r="BG315" s="6"/>
      <c r="BH315" s="5"/>
      <c r="BI315" s="5"/>
      <c r="BJ315" s="7"/>
    </row>
    <row r="316" s="1" customFormat="true" ht="14.25" hidden="false" customHeight="false" outlineLevel="0" collapsed="false">
      <c r="G316" s="2"/>
      <c r="M316" s="2"/>
      <c r="Z316" s="3"/>
      <c r="AL316" s="4"/>
      <c r="AM316" s="5"/>
      <c r="AN316" s="5"/>
      <c r="AO316" s="5"/>
      <c r="AP316" s="5"/>
      <c r="AQ316" s="5"/>
      <c r="AR316" s="5"/>
      <c r="AS316" s="6"/>
      <c r="AU316" s="6"/>
      <c r="AW316" s="6"/>
      <c r="AY316" s="5"/>
      <c r="AZ316" s="5"/>
      <c r="BA316" s="5"/>
      <c r="BC316" s="6"/>
      <c r="BE316" s="6"/>
      <c r="BG316" s="6"/>
      <c r="BH316" s="5"/>
      <c r="BI316" s="5"/>
      <c r="BJ316" s="7"/>
    </row>
    <row r="317" s="1" customFormat="true" ht="14.25" hidden="false" customHeight="false" outlineLevel="0" collapsed="false">
      <c r="G317" s="2"/>
      <c r="M317" s="2"/>
      <c r="Z317" s="3"/>
      <c r="AL317" s="4"/>
      <c r="AM317" s="5"/>
      <c r="AN317" s="5"/>
      <c r="AO317" s="5"/>
      <c r="AP317" s="5"/>
      <c r="AQ317" s="5"/>
      <c r="AR317" s="5"/>
      <c r="AS317" s="6"/>
      <c r="AU317" s="6"/>
      <c r="AW317" s="6"/>
      <c r="AY317" s="5"/>
      <c r="AZ317" s="5"/>
      <c r="BA317" s="5"/>
      <c r="BC317" s="6"/>
      <c r="BE317" s="6"/>
      <c r="BG317" s="6"/>
      <c r="BH317" s="5"/>
      <c r="BI317" s="5"/>
      <c r="BJ317" s="7"/>
    </row>
    <row r="318" s="1" customFormat="true" ht="14.25" hidden="false" customHeight="false" outlineLevel="0" collapsed="false">
      <c r="G318" s="2"/>
      <c r="M318" s="2"/>
      <c r="Z318" s="3"/>
      <c r="AL318" s="4"/>
      <c r="AM318" s="5"/>
      <c r="AN318" s="5"/>
      <c r="AO318" s="5"/>
      <c r="AP318" s="5"/>
      <c r="AQ318" s="5"/>
      <c r="AR318" s="5"/>
      <c r="AS318" s="6"/>
      <c r="AU318" s="6"/>
      <c r="AW318" s="6"/>
      <c r="AY318" s="5"/>
      <c r="AZ318" s="5"/>
      <c r="BA318" s="5"/>
      <c r="BC318" s="6"/>
      <c r="BE318" s="6"/>
      <c r="BG318" s="6"/>
      <c r="BH318" s="5"/>
      <c r="BI318" s="5"/>
      <c r="BJ318" s="7"/>
    </row>
    <row r="319" s="1" customFormat="true" ht="14.25" hidden="false" customHeight="false" outlineLevel="0" collapsed="false">
      <c r="G319" s="2"/>
      <c r="M319" s="2"/>
      <c r="Z319" s="3"/>
      <c r="AL319" s="4"/>
      <c r="AM319" s="5"/>
      <c r="AN319" s="5"/>
      <c r="AO319" s="5"/>
      <c r="AP319" s="5"/>
      <c r="AQ319" s="5"/>
      <c r="AR319" s="5"/>
      <c r="AS319" s="6"/>
      <c r="AU319" s="6"/>
      <c r="AW319" s="6"/>
      <c r="AY319" s="5"/>
      <c r="AZ319" s="5"/>
      <c r="BA319" s="5"/>
      <c r="BC319" s="6"/>
      <c r="BE319" s="6"/>
      <c r="BG319" s="6"/>
      <c r="BH319" s="5"/>
      <c r="BI319" s="5"/>
      <c r="BJ319" s="7"/>
    </row>
    <row r="320" s="1" customFormat="true" ht="14.25" hidden="false" customHeight="false" outlineLevel="0" collapsed="false">
      <c r="G320" s="2"/>
      <c r="M320" s="2"/>
      <c r="Z320" s="3"/>
      <c r="AL320" s="4"/>
      <c r="AM320" s="5"/>
      <c r="AN320" s="5"/>
      <c r="AO320" s="5"/>
      <c r="AP320" s="5"/>
      <c r="AQ320" s="5"/>
      <c r="AR320" s="5"/>
      <c r="AS320" s="6"/>
      <c r="AU320" s="6"/>
      <c r="AW320" s="6"/>
      <c r="AY320" s="5"/>
      <c r="AZ320" s="5"/>
      <c r="BA320" s="5"/>
      <c r="BC320" s="6"/>
      <c r="BE320" s="6"/>
      <c r="BG320" s="6"/>
      <c r="BH320" s="5"/>
      <c r="BI320" s="5"/>
      <c r="BJ320" s="7"/>
    </row>
    <row r="321" s="1" customFormat="true" ht="14.25" hidden="false" customHeight="false" outlineLevel="0" collapsed="false">
      <c r="G321" s="2"/>
      <c r="M321" s="2"/>
      <c r="Z321" s="3"/>
      <c r="AL321" s="4"/>
      <c r="AM321" s="5"/>
      <c r="AN321" s="5"/>
      <c r="AO321" s="5"/>
      <c r="AP321" s="5"/>
      <c r="AQ321" s="5"/>
      <c r="AR321" s="5"/>
      <c r="AS321" s="6"/>
      <c r="AU321" s="6"/>
      <c r="AW321" s="6"/>
      <c r="AY321" s="5"/>
      <c r="AZ321" s="5"/>
      <c r="BA321" s="5"/>
      <c r="BC321" s="6"/>
      <c r="BE321" s="6"/>
      <c r="BG321" s="6"/>
      <c r="BH321" s="5"/>
      <c r="BI321" s="5"/>
      <c r="BJ321" s="7"/>
    </row>
    <row r="322" s="1" customFormat="true" ht="14.25" hidden="false" customHeight="false" outlineLevel="0" collapsed="false">
      <c r="G322" s="2"/>
      <c r="M322" s="2"/>
      <c r="Z322" s="3"/>
      <c r="AL322" s="4"/>
      <c r="AM322" s="5"/>
      <c r="AN322" s="5"/>
      <c r="AO322" s="5"/>
      <c r="AP322" s="5"/>
      <c r="AQ322" s="5"/>
      <c r="AR322" s="5"/>
      <c r="AS322" s="6"/>
      <c r="AU322" s="6"/>
      <c r="AW322" s="6"/>
      <c r="AY322" s="5"/>
      <c r="AZ322" s="5"/>
      <c r="BA322" s="5"/>
      <c r="BC322" s="6"/>
      <c r="BE322" s="6"/>
      <c r="BG322" s="6"/>
      <c r="BH322" s="5"/>
      <c r="BI322" s="5"/>
      <c r="BJ322" s="7"/>
    </row>
    <row r="323" s="1" customFormat="true" ht="14.25" hidden="false" customHeight="false" outlineLevel="0" collapsed="false">
      <c r="G323" s="2"/>
      <c r="M323" s="2"/>
      <c r="Z323" s="3"/>
      <c r="AL323" s="4"/>
      <c r="AM323" s="5"/>
      <c r="AN323" s="5"/>
      <c r="AO323" s="5"/>
      <c r="AP323" s="5"/>
      <c r="AQ323" s="5"/>
      <c r="AR323" s="5"/>
      <c r="AS323" s="6"/>
      <c r="AU323" s="6"/>
      <c r="AW323" s="6"/>
      <c r="AY323" s="5"/>
      <c r="AZ323" s="5"/>
      <c r="BA323" s="5"/>
      <c r="BC323" s="6"/>
      <c r="BE323" s="6"/>
      <c r="BG323" s="6"/>
      <c r="BH323" s="5"/>
      <c r="BI323" s="5"/>
      <c r="BJ323" s="7"/>
    </row>
    <row r="324" s="1" customFormat="true" ht="14.25" hidden="false" customHeight="false" outlineLevel="0" collapsed="false">
      <c r="G324" s="2"/>
      <c r="M324" s="2"/>
      <c r="Z324" s="3"/>
      <c r="AL324" s="4"/>
      <c r="AM324" s="5"/>
      <c r="AN324" s="5"/>
      <c r="AO324" s="5"/>
      <c r="AP324" s="5"/>
      <c r="AQ324" s="5"/>
      <c r="AR324" s="5"/>
      <c r="AS324" s="6"/>
      <c r="AU324" s="6"/>
      <c r="AW324" s="6"/>
      <c r="AY324" s="5"/>
      <c r="AZ324" s="5"/>
      <c r="BA324" s="5"/>
      <c r="BC324" s="6"/>
      <c r="BE324" s="6"/>
      <c r="BG324" s="6"/>
      <c r="BH324" s="5"/>
      <c r="BI324" s="5"/>
      <c r="BJ324" s="7"/>
    </row>
    <row r="325" s="1" customFormat="true" ht="14.25" hidden="false" customHeight="false" outlineLevel="0" collapsed="false">
      <c r="G325" s="2"/>
      <c r="M325" s="2"/>
      <c r="Z325" s="3"/>
      <c r="AL325" s="4"/>
      <c r="AM325" s="5"/>
      <c r="AN325" s="5"/>
      <c r="AO325" s="5"/>
      <c r="AP325" s="5"/>
      <c r="AQ325" s="5"/>
      <c r="AR325" s="5"/>
      <c r="AS325" s="6"/>
      <c r="AU325" s="6"/>
      <c r="AW325" s="6"/>
      <c r="AY325" s="5"/>
      <c r="AZ325" s="5"/>
      <c r="BA325" s="5"/>
      <c r="BC325" s="6"/>
      <c r="BE325" s="6"/>
      <c r="BG325" s="6"/>
      <c r="BH325" s="5"/>
      <c r="BI325" s="5"/>
      <c r="BJ325" s="7"/>
    </row>
    <row r="326" s="1" customFormat="true" ht="14.25" hidden="false" customHeight="false" outlineLevel="0" collapsed="false">
      <c r="G326" s="2"/>
      <c r="M326" s="2"/>
      <c r="Z326" s="3"/>
      <c r="AL326" s="4"/>
      <c r="AM326" s="5"/>
      <c r="AN326" s="5"/>
      <c r="AO326" s="5"/>
      <c r="AP326" s="5"/>
      <c r="AQ326" s="5"/>
      <c r="AR326" s="5"/>
      <c r="AS326" s="6"/>
      <c r="AU326" s="6"/>
      <c r="AW326" s="6"/>
      <c r="AY326" s="5"/>
      <c r="AZ326" s="5"/>
      <c r="BA326" s="5"/>
      <c r="BC326" s="6"/>
      <c r="BE326" s="6"/>
      <c r="BG326" s="6"/>
      <c r="BH326" s="5"/>
      <c r="BI326" s="5"/>
      <c r="BJ326" s="7"/>
    </row>
    <row r="327" s="1" customFormat="true" ht="14.25" hidden="false" customHeight="false" outlineLevel="0" collapsed="false">
      <c r="G327" s="2"/>
      <c r="M327" s="2"/>
      <c r="Z327" s="3"/>
      <c r="AL327" s="4"/>
      <c r="AM327" s="5"/>
      <c r="AN327" s="5"/>
      <c r="AO327" s="5"/>
      <c r="AP327" s="5"/>
      <c r="AQ327" s="5"/>
      <c r="AR327" s="5"/>
      <c r="AS327" s="6"/>
      <c r="AU327" s="6"/>
      <c r="AW327" s="6"/>
      <c r="AY327" s="5"/>
      <c r="AZ327" s="5"/>
      <c r="BA327" s="5"/>
      <c r="BC327" s="6"/>
      <c r="BE327" s="6"/>
      <c r="BG327" s="6"/>
      <c r="BH327" s="5"/>
      <c r="BI327" s="5"/>
      <c r="BJ327" s="7"/>
    </row>
    <row r="328" s="1" customFormat="true" ht="14.25" hidden="false" customHeight="false" outlineLevel="0" collapsed="false">
      <c r="G328" s="2"/>
      <c r="M328" s="2"/>
      <c r="Z328" s="3"/>
      <c r="AL328" s="4"/>
      <c r="AM328" s="5"/>
      <c r="AN328" s="5"/>
      <c r="AO328" s="5"/>
      <c r="AP328" s="5"/>
      <c r="AQ328" s="5"/>
      <c r="AR328" s="5"/>
      <c r="AS328" s="6"/>
      <c r="AU328" s="6"/>
      <c r="AW328" s="6"/>
      <c r="AY328" s="5"/>
      <c r="AZ328" s="5"/>
      <c r="BA328" s="5"/>
      <c r="BC328" s="6"/>
      <c r="BE328" s="6"/>
      <c r="BG328" s="6"/>
      <c r="BH328" s="5"/>
      <c r="BI328" s="5"/>
      <c r="BJ328" s="7"/>
    </row>
    <row r="329" s="1" customFormat="true" ht="14.25" hidden="false" customHeight="false" outlineLevel="0" collapsed="false">
      <c r="G329" s="2"/>
      <c r="M329" s="2"/>
      <c r="Z329" s="3"/>
      <c r="AL329" s="4"/>
      <c r="AM329" s="5"/>
      <c r="AN329" s="5"/>
      <c r="AO329" s="5"/>
      <c r="AP329" s="5"/>
      <c r="AQ329" s="5"/>
      <c r="AR329" s="5"/>
      <c r="AS329" s="6"/>
      <c r="AU329" s="6"/>
      <c r="AW329" s="6"/>
      <c r="AY329" s="5"/>
      <c r="AZ329" s="5"/>
      <c r="BA329" s="5"/>
      <c r="BC329" s="6"/>
      <c r="BE329" s="6"/>
      <c r="BG329" s="6"/>
      <c r="BH329" s="5"/>
      <c r="BI329" s="5"/>
      <c r="BJ329" s="7"/>
    </row>
    <row r="330" s="1" customFormat="true" ht="14.25" hidden="false" customHeight="false" outlineLevel="0" collapsed="false">
      <c r="G330" s="2"/>
      <c r="M330" s="2"/>
      <c r="Z330" s="3"/>
      <c r="AL330" s="4"/>
      <c r="AM330" s="5"/>
      <c r="AN330" s="5"/>
      <c r="AO330" s="5"/>
      <c r="AP330" s="5"/>
      <c r="AQ330" s="5"/>
      <c r="AR330" s="5"/>
      <c r="AS330" s="6"/>
      <c r="AU330" s="6"/>
      <c r="AW330" s="6"/>
      <c r="AY330" s="5"/>
      <c r="AZ330" s="5"/>
      <c r="BA330" s="5"/>
      <c r="BC330" s="6"/>
      <c r="BE330" s="6"/>
      <c r="BG330" s="6"/>
      <c r="BH330" s="5"/>
      <c r="BI330" s="5"/>
      <c r="BJ330" s="7"/>
    </row>
    <row r="331" s="1" customFormat="true" ht="14.25" hidden="false" customHeight="false" outlineLevel="0" collapsed="false">
      <c r="G331" s="2"/>
      <c r="M331" s="2"/>
      <c r="Z331" s="3"/>
      <c r="AL331" s="4"/>
      <c r="AM331" s="5"/>
      <c r="AN331" s="5"/>
      <c r="AO331" s="5"/>
      <c r="AP331" s="5"/>
      <c r="AQ331" s="5"/>
      <c r="AR331" s="5"/>
      <c r="AS331" s="6"/>
      <c r="AU331" s="6"/>
      <c r="AW331" s="6"/>
      <c r="AY331" s="5"/>
      <c r="AZ331" s="5"/>
      <c r="BA331" s="5"/>
      <c r="BC331" s="6"/>
      <c r="BE331" s="6"/>
      <c r="BG331" s="6"/>
      <c r="BH331" s="5"/>
      <c r="BI331" s="5"/>
      <c r="BJ331" s="7"/>
    </row>
    <row r="332" s="1" customFormat="true" ht="14.25" hidden="false" customHeight="false" outlineLevel="0" collapsed="false">
      <c r="G332" s="2"/>
      <c r="M332" s="2"/>
      <c r="Z332" s="3"/>
      <c r="AL332" s="4"/>
      <c r="AM332" s="5"/>
      <c r="AN332" s="5"/>
      <c r="AO332" s="5"/>
      <c r="AP332" s="5"/>
      <c r="AQ332" s="5"/>
      <c r="AR332" s="5"/>
      <c r="AS332" s="6"/>
      <c r="AU332" s="6"/>
      <c r="AW332" s="6"/>
      <c r="AY332" s="5"/>
      <c r="AZ332" s="5"/>
      <c r="BA332" s="5"/>
      <c r="BC332" s="6"/>
      <c r="BE332" s="6"/>
      <c r="BG332" s="6"/>
      <c r="BH332" s="5"/>
      <c r="BI332" s="5"/>
      <c r="BJ332" s="7"/>
    </row>
    <row r="333" s="1" customFormat="true" ht="14.25" hidden="false" customHeight="false" outlineLevel="0" collapsed="false">
      <c r="G333" s="2"/>
      <c r="M333" s="2"/>
      <c r="Z333" s="3"/>
      <c r="AL333" s="4"/>
      <c r="AM333" s="5"/>
      <c r="AN333" s="5"/>
      <c r="AO333" s="5"/>
      <c r="AP333" s="5"/>
      <c r="AQ333" s="5"/>
      <c r="AR333" s="5"/>
      <c r="AS333" s="6"/>
      <c r="AU333" s="6"/>
      <c r="AW333" s="6"/>
      <c r="AY333" s="5"/>
      <c r="AZ333" s="5"/>
      <c r="BA333" s="5"/>
      <c r="BC333" s="6"/>
      <c r="BE333" s="6"/>
      <c r="BG333" s="6"/>
      <c r="BH333" s="5"/>
      <c r="BI333" s="5"/>
      <c r="BJ333" s="7"/>
    </row>
    <row r="334" s="1" customFormat="true" ht="14.25" hidden="false" customHeight="false" outlineLevel="0" collapsed="false">
      <c r="G334" s="2"/>
      <c r="M334" s="2"/>
      <c r="Z334" s="3"/>
      <c r="AL334" s="4"/>
      <c r="AM334" s="5"/>
      <c r="AN334" s="5"/>
      <c r="AO334" s="5"/>
      <c r="AP334" s="5"/>
      <c r="AQ334" s="5"/>
      <c r="AR334" s="5"/>
      <c r="AS334" s="6"/>
      <c r="AU334" s="6"/>
      <c r="AW334" s="6"/>
      <c r="AY334" s="5"/>
      <c r="AZ334" s="5"/>
      <c r="BA334" s="5"/>
      <c r="BC334" s="6"/>
      <c r="BE334" s="6"/>
      <c r="BG334" s="6"/>
      <c r="BH334" s="5"/>
      <c r="BI334" s="5"/>
      <c r="BJ334" s="7"/>
    </row>
    <row r="335" s="1" customFormat="true" ht="14.25" hidden="false" customHeight="false" outlineLevel="0" collapsed="false">
      <c r="G335" s="2"/>
      <c r="M335" s="2"/>
      <c r="Z335" s="3"/>
      <c r="AL335" s="4"/>
      <c r="AM335" s="5"/>
      <c r="AN335" s="5"/>
      <c r="AO335" s="5"/>
      <c r="AP335" s="5"/>
      <c r="AQ335" s="5"/>
      <c r="AR335" s="5"/>
      <c r="AS335" s="6"/>
      <c r="AU335" s="6"/>
      <c r="AW335" s="6"/>
      <c r="AY335" s="5"/>
      <c r="AZ335" s="5"/>
      <c r="BA335" s="5"/>
      <c r="BC335" s="6"/>
      <c r="BE335" s="6"/>
      <c r="BG335" s="6"/>
      <c r="BH335" s="5"/>
      <c r="BI335" s="5"/>
      <c r="BJ335" s="7"/>
    </row>
    <row r="336" s="1" customFormat="true" ht="14.25" hidden="false" customHeight="false" outlineLevel="0" collapsed="false">
      <c r="G336" s="2"/>
      <c r="M336" s="2"/>
      <c r="Z336" s="3"/>
      <c r="AL336" s="4"/>
      <c r="AM336" s="5"/>
      <c r="AN336" s="5"/>
      <c r="AO336" s="5"/>
      <c r="AP336" s="5"/>
      <c r="AQ336" s="5"/>
      <c r="AR336" s="5"/>
      <c r="AS336" s="6"/>
      <c r="AU336" s="6"/>
      <c r="AW336" s="6"/>
      <c r="AY336" s="5"/>
      <c r="AZ336" s="5"/>
      <c r="BA336" s="5"/>
      <c r="BC336" s="6"/>
      <c r="BE336" s="6"/>
      <c r="BG336" s="6"/>
      <c r="BH336" s="5"/>
      <c r="BI336" s="5"/>
      <c r="BJ336" s="7"/>
    </row>
    <row r="337" s="1" customFormat="true" ht="14.25" hidden="false" customHeight="false" outlineLevel="0" collapsed="false">
      <c r="G337" s="2"/>
      <c r="M337" s="2"/>
      <c r="Z337" s="3"/>
      <c r="AL337" s="4"/>
      <c r="AM337" s="5"/>
      <c r="AN337" s="5"/>
      <c r="AO337" s="5"/>
      <c r="AP337" s="5"/>
      <c r="AQ337" s="5"/>
      <c r="AR337" s="5"/>
      <c r="AS337" s="6"/>
      <c r="AU337" s="6"/>
      <c r="AW337" s="6"/>
      <c r="AY337" s="5"/>
      <c r="AZ337" s="5"/>
      <c r="BA337" s="5"/>
      <c r="BC337" s="6"/>
      <c r="BE337" s="6"/>
      <c r="BG337" s="6"/>
      <c r="BH337" s="5"/>
      <c r="BI337" s="5"/>
      <c r="BJ337" s="7"/>
    </row>
    <row r="338" s="1" customFormat="true" ht="14.25" hidden="false" customHeight="false" outlineLevel="0" collapsed="false">
      <c r="G338" s="2"/>
      <c r="M338" s="2"/>
      <c r="Z338" s="3"/>
      <c r="AL338" s="4"/>
      <c r="AM338" s="5"/>
      <c r="AN338" s="5"/>
      <c r="AO338" s="5"/>
      <c r="AP338" s="5"/>
      <c r="AQ338" s="5"/>
      <c r="AR338" s="5"/>
      <c r="AS338" s="6"/>
      <c r="AU338" s="6"/>
      <c r="AW338" s="6"/>
      <c r="AY338" s="5"/>
      <c r="AZ338" s="5"/>
      <c r="BA338" s="5"/>
      <c r="BC338" s="6"/>
      <c r="BE338" s="6"/>
      <c r="BG338" s="6"/>
      <c r="BH338" s="5"/>
      <c r="BI338" s="5"/>
      <c r="BJ338" s="7"/>
    </row>
    <row r="339" s="1" customFormat="true" ht="14.25" hidden="false" customHeight="false" outlineLevel="0" collapsed="false">
      <c r="G339" s="2"/>
      <c r="M339" s="2"/>
      <c r="Z339" s="3"/>
      <c r="AL339" s="4"/>
      <c r="AM339" s="5"/>
      <c r="AN339" s="5"/>
      <c r="AO339" s="5"/>
      <c r="AP339" s="5"/>
      <c r="AQ339" s="5"/>
      <c r="AR339" s="5"/>
      <c r="AS339" s="6"/>
      <c r="AU339" s="6"/>
      <c r="AW339" s="6"/>
      <c r="AY339" s="5"/>
      <c r="AZ339" s="5"/>
      <c r="BA339" s="5"/>
      <c r="BC339" s="6"/>
      <c r="BE339" s="6"/>
      <c r="BG339" s="6"/>
      <c r="BH339" s="5"/>
      <c r="BI339" s="5"/>
      <c r="BJ339" s="7"/>
    </row>
    <row r="340" s="1" customFormat="true" ht="14.25" hidden="false" customHeight="false" outlineLevel="0" collapsed="false">
      <c r="G340" s="2"/>
      <c r="M340" s="2"/>
      <c r="Z340" s="3"/>
      <c r="AL340" s="4"/>
      <c r="AM340" s="5"/>
      <c r="AN340" s="5"/>
      <c r="AO340" s="5"/>
      <c r="AP340" s="5"/>
      <c r="AQ340" s="5"/>
      <c r="AR340" s="5"/>
      <c r="AS340" s="6"/>
      <c r="AU340" s="6"/>
      <c r="AW340" s="6"/>
      <c r="AY340" s="5"/>
      <c r="AZ340" s="5"/>
      <c r="BA340" s="5"/>
      <c r="BC340" s="6"/>
      <c r="BE340" s="6"/>
      <c r="BG340" s="6"/>
      <c r="BH340" s="5"/>
      <c r="BI340" s="5"/>
      <c r="BJ340" s="7"/>
    </row>
    <row r="341" s="1" customFormat="true" ht="14.25" hidden="false" customHeight="false" outlineLevel="0" collapsed="false">
      <c r="G341" s="2"/>
      <c r="M341" s="2"/>
      <c r="Z341" s="3"/>
      <c r="AL341" s="4"/>
      <c r="AM341" s="5"/>
      <c r="AN341" s="5"/>
      <c r="AO341" s="5"/>
      <c r="AP341" s="5"/>
      <c r="AQ341" s="5"/>
      <c r="AR341" s="5"/>
      <c r="AS341" s="6"/>
      <c r="AU341" s="6"/>
      <c r="AW341" s="6"/>
      <c r="AY341" s="5"/>
      <c r="AZ341" s="5"/>
      <c r="BA341" s="5"/>
      <c r="BC341" s="6"/>
      <c r="BE341" s="6"/>
      <c r="BG341" s="6"/>
      <c r="BH341" s="5"/>
      <c r="BI341" s="5"/>
      <c r="BJ341" s="7"/>
    </row>
    <row r="342" s="1" customFormat="true" ht="14.25" hidden="false" customHeight="false" outlineLevel="0" collapsed="false">
      <c r="G342" s="2"/>
      <c r="M342" s="2"/>
      <c r="Z342" s="3"/>
      <c r="AL342" s="4"/>
      <c r="AM342" s="5"/>
      <c r="AN342" s="5"/>
      <c r="AO342" s="5"/>
      <c r="AP342" s="5"/>
      <c r="AQ342" s="5"/>
      <c r="AR342" s="5"/>
      <c r="AS342" s="6"/>
      <c r="AU342" s="6"/>
      <c r="AW342" s="6"/>
      <c r="AY342" s="5"/>
      <c r="AZ342" s="5"/>
      <c r="BA342" s="5"/>
      <c r="BC342" s="6"/>
      <c r="BE342" s="6"/>
      <c r="BG342" s="6"/>
      <c r="BH342" s="5"/>
      <c r="BI342" s="5"/>
      <c r="BJ342" s="7"/>
    </row>
    <row r="343" s="1" customFormat="true" ht="14.25" hidden="false" customHeight="false" outlineLevel="0" collapsed="false">
      <c r="G343" s="2"/>
      <c r="M343" s="2"/>
      <c r="Z343" s="3"/>
      <c r="AL343" s="4"/>
      <c r="AM343" s="5"/>
      <c r="AN343" s="5"/>
      <c r="AO343" s="5"/>
      <c r="AP343" s="5"/>
      <c r="AQ343" s="5"/>
      <c r="AR343" s="5"/>
      <c r="AS343" s="6"/>
      <c r="AU343" s="6"/>
      <c r="AW343" s="6"/>
      <c r="AY343" s="5"/>
      <c r="AZ343" s="5"/>
      <c r="BA343" s="5"/>
      <c r="BC343" s="6"/>
      <c r="BE343" s="6"/>
      <c r="BG343" s="6"/>
      <c r="BH343" s="5"/>
      <c r="BI343" s="5"/>
      <c r="BJ343" s="7"/>
    </row>
    <row r="344" s="1" customFormat="true" ht="14.25" hidden="false" customHeight="false" outlineLevel="0" collapsed="false">
      <c r="G344" s="2"/>
      <c r="M344" s="2"/>
      <c r="Z344" s="3"/>
      <c r="AL344" s="4"/>
      <c r="AM344" s="5"/>
      <c r="AN344" s="5"/>
      <c r="AO344" s="5"/>
      <c r="AP344" s="5"/>
      <c r="AQ344" s="5"/>
      <c r="AR344" s="5"/>
      <c r="AS344" s="6"/>
      <c r="AU344" s="6"/>
      <c r="AW344" s="6"/>
      <c r="AY344" s="5"/>
      <c r="AZ344" s="5"/>
      <c r="BA344" s="5"/>
      <c r="BC344" s="6"/>
      <c r="BE344" s="6"/>
      <c r="BG344" s="6"/>
      <c r="BH344" s="5"/>
      <c r="BI344" s="5"/>
      <c r="BJ344" s="7"/>
    </row>
    <row r="345" s="1" customFormat="true" ht="14.25" hidden="false" customHeight="false" outlineLevel="0" collapsed="false">
      <c r="G345" s="2"/>
      <c r="M345" s="2"/>
      <c r="Z345" s="3"/>
      <c r="AL345" s="4"/>
      <c r="AM345" s="5"/>
      <c r="AN345" s="5"/>
      <c r="AO345" s="5"/>
      <c r="AP345" s="5"/>
      <c r="AQ345" s="5"/>
      <c r="AR345" s="5"/>
      <c r="AS345" s="6"/>
      <c r="AU345" s="6"/>
      <c r="AW345" s="6"/>
      <c r="AY345" s="5"/>
      <c r="AZ345" s="5"/>
      <c r="BA345" s="5"/>
      <c r="BC345" s="6"/>
      <c r="BE345" s="6"/>
      <c r="BG345" s="6"/>
      <c r="BH345" s="5"/>
      <c r="BI345" s="5"/>
      <c r="BJ345" s="7"/>
    </row>
    <row r="346" s="1" customFormat="true" ht="14.25" hidden="false" customHeight="false" outlineLevel="0" collapsed="false">
      <c r="G346" s="2"/>
      <c r="M346" s="2"/>
      <c r="Z346" s="3"/>
      <c r="AL346" s="4"/>
      <c r="AM346" s="5"/>
      <c r="AN346" s="5"/>
      <c r="AO346" s="5"/>
      <c r="AP346" s="5"/>
      <c r="AQ346" s="5"/>
      <c r="AR346" s="5"/>
      <c r="AS346" s="6"/>
      <c r="AU346" s="6"/>
      <c r="AW346" s="6"/>
      <c r="AY346" s="5"/>
      <c r="AZ346" s="5"/>
      <c r="BA346" s="5"/>
      <c r="BC346" s="6"/>
      <c r="BE346" s="6"/>
      <c r="BG346" s="6"/>
      <c r="BH346" s="5"/>
      <c r="BI346" s="5"/>
      <c r="BJ346" s="7"/>
    </row>
    <row r="347" s="1" customFormat="true" ht="14.25" hidden="false" customHeight="false" outlineLevel="0" collapsed="false">
      <c r="G347" s="2"/>
      <c r="M347" s="2"/>
      <c r="Z347" s="3"/>
      <c r="AL347" s="4"/>
      <c r="AM347" s="5"/>
      <c r="AN347" s="5"/>
      <c r="AO347" s="5"/>
      <c r="AP347" s="5"/>
      <c r="AQ347" s="5"/>
      <c r="AR347" s="5"/>
      <c r="AS347" s="6"/>
      <c r="AU347" s="6"/>
      <c r="AW347" s="6"/>
      <c r="AY347" s="5"/>
      <c r="AZ347" s="5"/>
      <c r="BA347" s="5"/>
      <c r="BC347" s="6"/>
      <c r="BE347" s="6"/>
      <c r="BG347" s="6"/>
      <c r="BH347" s="5"/>
      <c r="BI347" s="5"/>
      <c r="BJ347" s="7"/>
    </row>
    <row r="348" s="1" customFormat="true" ht="14.25" hidden="false" customHeight="false" outlineLevel="0" collapsed="false">
      <c r="G348" s="2"/>
      <c r="M348" s="2"/>
      <c r="Z348" s="3"/>
      <c r="AL348" s="4"/>
      <c r="AM348" s="5"/>
      <c r="AN348" s="5"/>
      <c r="AO348" s="5"/>
      <c r="AP348" s="5"/>
      <c r="AQ348" s="5"/>
      <c r="AR348" s="5"/>
      <c r="AS348" s="6"/>
      <c r="AU348" s="6"/>
      <c r="AW348" s="6"/>
      <c r="AY348" s="5"/>
      <c r="AZ348" s="5"/>
      <c r="BA348" s="5"/>
      <c r="BC348" s="6"/>
      <c r="BE348" s="6"/>
      <c r="BG348" s="6"/>
      <c r="BH348" s="5"/>
      <c r="BI348" s="5"/>
      <c r="BJ348" s="7"/>
    </row>
    <row r="349" s="1" customFormat="true" ht="14.25" hidden="false" customHeight="false" outlineLevel="0" collapsed="false">
      <c r="G349" s="2"/>
      <c r="M349" s="2"/>
      <c r="Z349" s="3"/>
      <c r="AL349" s="4"/>
      <c r="AM349" s="5"/>
      <c r="AN349" s="5"/>
      <c r="AO349" s="5"/>
      <c r="AP349" s="5"/>
      <c r="AQ349" s="5"/>
      <c r="AR349" s="5"/>
      <c r="AS349" s="6"/>
      <c r="AU349" s="6"/>
      <c r="AW349" s="6"/>
      <c r="AY349" s="5"/>
      <c r="AZ349" s="5"/>
      <c r="BA349" s="5"/>
      <c r="BC349" s="6"/>
      <c r="BE349" s="6"/>
      <c r="BG349" s="6"/>
      <c r="BH349" s="5"/>
      <c r="BI349" s="5"/>
      <c r="BJ349" s="7"/>
    </row>
    <row r="350" s="1" customFormat="true" ht="14.25" hidden="false" customHeight="false" outlineLevel="0" collapsed="false">
      <c r="G350" s="2"/>
      <c r="M350" s="2"/>
      <c r="Z350" s="3"/>
      <c r="AL350" s="4"/>
      <c r="AM350" s="5"/>
      <c r="AN350" s="5"/>
      <c r="AO350" s="5"/>
      <c r="AP350" s="5"/>
      <c r="AQ350" s="5"/>
      <c r="AR350" s="5"/>
      <c r="AS350" s="6"/>
      <c r="AU350" s="6"/>
      <c r="AW350" s="6"/>
      <c r="AY350" s="5"/>
      <c r="AZ350" s="5"/>
      <c r="BA350" s="5"/>
      <c r="BC350" s="6"/>
      <c r="BE350" s="6"/>
      <c r="BG350" s="6"/>
      <c r="BH350" s="5"/>
      <c r="BI350" s="5"/>
      <c r="BJ350" s="7"/>
    </row>
    <row r="351" s="1" customFormat="true" ht="14.25" hidden="false" customHeight="false" outlineLevel="0" collapsed="false">
      <c r="G351" s="2"/>
      <c r="M351" s="2"/>
      <c r="Z351" s="3"/>
      <c r="AL351" s="4"/>
      <c r="AM351" s="5"/>
      <c r="AN351" s="5"/>
      <c r="AO351" s="5"/>
      <c r="AP351" s="5"/>
      <c r="AQ351" s="5"/>
      <c r="AR351" s="5"/>
      <c r="AS351" s="6"/>
      <c r="AU351" s="6"/>
      <c r="AW351" s="6"/>
      <c r="AY351" s="5"/>
      <c r="AZ351" s="5"/>
      <c r="BA351" s="5"/>
      <c r="BC351" s="6"/>
      <c r="BE351" s="6"/>
      <c r="BG351" s="6"/>
      <c r="BH351" s="5"/>
      <c r="BI351" s="5"/>
      <c r="BJ351" s="7"/>
    </row>
    <row r="352" s="1" customFormat="true" ht="14.25" hidden="false" customHeight="false" outlineLevel="0" collapsed="false">
      <c r="G352" s="2"/>
      <c r="M352" s="2"/>
      <c r="Z352" s="3"/>
      <c r="AL352" s="4"/>
      <c r="AM352" s="5"/>
      <c r="AN352" s="5"/>
      <c r="AO352" s="5"/>
      <c r="AP352" s="5"/>
      <c r="AQ352" s="5"/>
      <c r="AR352" s="5"/>
      <c r="AS352" s="6"/>
      <c r="AU352" s="6"/>
      <c r="AW352" s="6"/>
      <c r="AY352" s="5"/>
      <c r="AZ352" s="5"/>
      <c r="BA352" s="5"/>
      <c r="BC352" s="6"/>
      <c r="BE352" s="6"/>
      <c r="BG352" s="6"/>
      <c r="BH352" s="5"/>
      <c r="BI352" s="5"/>
      <c r="BJ352" s="7"/>
    </row>
    <row r="353" s="1" customFormat="true" ht="14.25" hidden="false" customHeight="false" outlineLevel="0" collapsed="false">
      <c r="G353" s="2"/>
      <c r="M353" s="2"/>
      <c r="Z353" s="3"/>
      <c r="AL353" s="4"/>
      <c r="AM353" s="5"/>
      <c r="AN353" s="5"/>
      <c r="AO353" s="5"/>
      <c r="AP353" s="5"/>
      <c r="AQ353" s="5"/>
      <c r="AR353" s="5"/>
      <c r="AS353" s="6"/>
      <c r="AU353" s="6"/>
      <c r="AW353" s="6"/>
      <c r="AY353" s="5"/>
      <c r="AZ353" s="5"/>
      <c r="BA353" s="5"/>
      <c r="BC353" s="6"/>
      <c r="BE353" s="6"/>
      <c r="BG353" s="6"/>
      <c r="BH353" s="5"/>
      <c r="BI353" s="5"/>
      <c r="BJ353" s="7"/>
    </row>
    <row r="354" s="1" customFormat="true" ht="14.25" hidden="false" customHeight="false" outlineLevel="0" collapsed="false">
      <c r="G354" s="2"/>
      <c r="M354" s="2"/>
      <c r="Z354" s="3"/>
      <c r="AL354" s="4"/>
      <c r="AM354" s="5"/>
      <c r="AN354" s="5"/>
      <c r="AO354" s="5"/>
      <c r="AP354" s="5"/>
      <c r="AQ354" s="5"/>
      <c r="AR354" s="5"/>
      <c r="AS354" s="6"/>
      <c r="AU354" s="6"/>
      <c r="AW354" s="6"/>
      <c r="AY354" s="5"/>
      <c r="AZ354" s="5"/>
      <c r="BA354" s="5"/>
      <c r="BC354" s="6"/>
      <c r="BE354" s="6"/>
      <c r="BG354" s="6"/>
      <c r="BH354" s="5"/>
      <c r="BI354" s="5"/>
      <c r="BJ354" s="7"/>
    </row>
    <row r="355" s="1" customFormat="true" ht="14.25" hidden="false" customHeight="false" outlineLevel="0" collapsed="false">
      <c r="G355" s="2"/>
      <c r="M355" s="2"/>
      <c r="Z355" s="3"/>
      <c r="AL355" s="4"/>
      <c r="AM355" s="5"/>
      <c r="AN355" s="5"/>
      <c r="AO355" s="5"/>
      <c r="AP355" s="5"/>
      <c r="AQ355" s="5"/>
      <c r="AR355" s="5"/>
      <c r="AS355" s="6"/>
      <c r="AU355" s="6"/>
      <c r="AW355" s="6"/>
      <c r="AY355" s="5"/>
      <c r="AZ355" s="5"/>
      <c r="BA355" s="5"/>
      <c r="BC355" s="6"/>
      <c r="BE355" s="6"/>
      <c r="BG355" s="6"/>
      <c r="BH355" s="5"/>
      <c r="BI355" s="5"/>
      <c r="BJ355" s="7"/>
    </row>
    <row r="356" s="1" customFormat="true" ht="14.25" hidden="false" customHeight="false" outlineLevel="0" collapsed="false">
      <c r="G356" s="2"/>
      <c r="M356" s="2"/>
      <c r="Z356" s="3"/>
      <c r="AL356" s="4"/>
      <c r="AM356" s="5"/>
      <c r="AN356" s="5"/>
      <c r="AO356" s="5"/>
      <c r="AP356" s="5"/>
      <c r="AQ356" s="5"/>
      <c r="AR356" s="5"/>
      <c r="AS356" s="6"/>
      <c r="AU356" s="6"/>
      <c r="AW356" s="6"/>
      <c r="AY356" s="5"/>
      <c r="AZ356" s="5"/>
      <c r="BA356" s="5"/>
      <c r="BC356" s="6"/>
      <c r="BE356" s="6"/>
      <c r="BG356" s="6"/>
      <c r="BH356" s="5"/>
      <c r="BI356" s="5"/>
      <c r="BJ356" s="7"/>
    </row>
    <row r="357" s="1" customFormat="true" ht="14.25" hidden="false" customHeight="false" outlineLevel="0" collapsed="false">
      <c r="G357" s="2"/>
      <c r="M357" s="2"/>
      <c r="Z357" s="3"/>
      <c r="AL357" s="4"/>
      <c r="AM357" s="5"/>
      <c r="AN357" s="5"/>
      <c r="AO357" s="5"/>
      <c r="AP357" s="5"/>
      <c r="AQ357" s="5"/>
      <c r="AR357" s="5"/>
      <c r="AS357" s="6"/>
      <c r="AU357" s="6"/>
      <c r="AW357" s="6"/>
      <c r="AY357" s="5"/>
      <c r="AZ357" s="5"/>
      <c r="BA357" s="5"/>
      <c r="BC357" s="6"/>
      <c r="BE357" s="6"/>
      <c r="BG357" s="6"/>
      <c r="BH357" s="5"/>
      <c r="BI357" s="5"/>
      <c r="BJ357" s="7"/>
    </row>
    <row r="358" s="1" customFormat="true" ht="14.25" hidden="false" customHeight="false" outlineLevel="0" collapsed="false">
      <c r="G358" s="2"/>
      <c r="M358" s="2"/>
      <c r="Z358" s="3"/>
      <c r="AL358" s="4"/>
      <c r="AM358" s="5"/>
      <c r="AN358" s="5"/>
      <c r="AO358" s="5"/>
      <c r="AP358" s="5"/>
      <c r="AQ358" s="5"/>
      <c r="AR358" s="5"/>
      <c r="AS358" s="6"/>
      <c r="AU358" s="6"/>
      <c r="AW358" s="6"/>
      <c r="AY358" s="5"/>
      <c r="AZ358" s="5"/>
      <c r="BA358" s="5"/>
      <c r="BC358" s="6"/>
      <c r="BE358" s="6"/>
      <c r="BG358" s="6"/>
      <c r="BH358" s="5"/>
      <c r="BI358" s="5"/>
      <c r="BJ358" s="7"/>
    </row>
    <row r="359" s="1" customFormat="true" ht="14.25" hidden="false" customHeight="false" outlineLevel="0" collapsed="false">
      <c r="G359" s="2"/>
      <c r="M359" s="2"/>
      <c r="Z359" s="3"/>
      <c r="AL359" s="4"/>
      <c r="AM359" s="5"/>
      <c r="AN359" s="5"/>
      <c r="AO359" s="5"/>
      <c r="AP359" s="5"/>
      <c r="AQ359" s="5"/>
      <c r="AR359" s="5"/>
      <c r="AS359" s="6"/>
      <c r="AU359" s="6"/>
      <c r="AW359" s="6"/>
      <c r="AY359" s="5"/>
      <c r="AZ359" s="5"/>
      <c r="BA359" s="5"/>
      <c r="BC359" s="6"/>
      <c r="BE359" s="6"/>
      <c r="BG359" s="6"/>
      <c r="BH359" s="5"/>
      <c r="BI359" s="5"/>
      <c r="BJ359" s="7"/>
    </row>
    <row r="360" s="1" customFormat="true" ht="14.25" hidden="false" customHeight="false" outlineLevel="0" collapsed="false">
      <c r="G360" s="2"/>
      <c r="M360" s="2"/>
      <c r="Z360" s="3"/>
      <c r="AL360" s="4"/>
      <c r="AM360" s="5"/>
      <c r="AN360" s="5"/>
      <c r="AO360" s="5"/>
      <c r="AP360" s="5"/>
      <c r="AQ360" s="5"/>
      <c r="AR360" s="5"/>
      <c r="AS360" s="6"/>
      <c r="AU360" s="6"/>
      <c r="AW360" s="6"/>
      <c r="AY360" s="5"/>
      <c r="AZ360" s="5"/>
      <c r="BA360" s="5"/>
      <c r="BC360" s="6"/>
      <c r="BE360" s="6"/>
      <c r="BG360" s="6"/>
      <c r="BH360" s="5"/>
      <c r="BI360" s="5"/>
      <c r="BJ360" s="7"/>
    </row>
    <row r="361" s="1" customFormat="true" ht="14.25" hidden="false" customHeight="false" outlineLevel="0" collapsed="false">
      <c r="G361" s="2"/>
      <c r="M361" s="2"/>
      <c r="Z361" s="3"/>
      <c r="AL361" s="4"/>
      <c r="AM361" s="5"/>
      <c r="AN361" s="5"/>
      <c r="AO361" s="5"/>
      <c r="AP361" s="5"/>
      <c r="AQ361" s="5"/>
      <c r="AR361" s="5"/>
      <c r="AS361" s="6"/>
      <c r="AU361" s="6"/>
      <c r="AW361" s="6"/>
      <c r="AY361" s="5"/>
      <c r="AZ361" s="5"/>
      <c r="BA361" s="5"/>
      <c r="BC361" s="6"/>
      <c r="BE361" s="6"/>
      <c r="BG361" s="6"/>
      <c r="BH361" s="5"/>
      <c r="BI361" s="5"/>
      <c r="BJ361" s="7"/>
    </row>
    <row r="362" s="1" customFormat="true" ht="14.25" hidden="false" customHeight="false" outlineLevel="0" collapsed="false">
      <c r="G362" s="2"/>
      <c r="M362" s="2"/>
      <c r="Z362" s="3"/>
      <c r="AL362" s="4"/>
      <c r="AM362" s="5"/>
      <c r="AN362" s="5"/>
      <c r="AO362" s="5"/>
      <c r="AP362" s="5"/>
      <c r="AQ362" s="5"/>
      <c r="AR362" s="5"/>
      <c r="AS362" s="6"/>
      <c r="AU362" s="6"/>
      <c r="AW362" s="6"/>
      <c r="AY362" s="5"/>
      <c r="AZ362" s="5"/>
      <c r="BA362" s="5"/>
      <c r="BC362" s="6"/>
      <c r="BE362" s="6"/>
      <c r="BG362" s="6"/>
      <c r="BH362" s="5"/>
      <c r="BI362" s="5"/>
      <c r="BJ362" s="7"/>
    </row>
    <row r="363" s="1" customFormat="true" ht="14.25" hidden="false" customHeight="false" outlineLevel="0" collapsed="false">
      <c r="G363" s="2"/>
      <c r="M363" s="2"/>
      <c r="Z363" s="3"/>
      <c r="AL363" s="4"/>
      <c r="AM363" s="5"/>
      <c r="AN363" s="5"/>
      <c r="AO363" s="5"/>
      <c r="AP363" s="5"/>
      <c r="AQ363" s="5"/>
      <c r="AR363" s="5"/>
      <c r="AS363" s="6"/>
      <c r="AU363" s="6"/>
      <c r="AW363" s="6"/>
      <c r="AY363" s="5"/>
      <c r="AZ363" s="5"/>
      <c r="BA363" s="5"/>
      <c r="BC363" s="6"/>
      <c r="BE363" s="6"/>
      <c r="BG363" s="6"/>
      <c r="BH363" s="5"/>
      <c r="BI363" s="5"/>
      <c r="BJ363" s="7"/>
    </row>
    <row r="364" s="1" customFormat="true" ht="14.25" hidden="false" customHeight="false" outlineLevel="0" collapsed="false">
      <c r="G364" s="2"/>
      <c r="M364" s="2"/>
      <c r="Z364" s="3"/>
      <c r="AL364" s="4"/>
      <c r="AM364" s="5"/>
      <c r="AN364" s="5"/>
      <c r="AO364" s="5"/>
      <c r="AP364" s="5"/>
      <c r="AQ364" s="5"/>
      <c r="AR364" s="5"/>
      <c r="AS364" s="6"/>
      <c r="AU364" s="6"/>
      <c r="AW364" s="6"/>
      <c r="AY364" s="5"/>
      <c r="AZ364" s="5"/>
      <c r="BA364" s="5"/>
      <c r="BC364" s="6"/>
      <c r="BE364" s="6"/>
      <c r="BG364" s="6"/>
      <c r="BH364" s="5"/>
      <c r="BI364" s="5"/>
      <c r="BJ364" s="7"/>
    </row>
    <row r="365" s="1" customFormat="true" ht="14.25" hidden="false" customHeight="false" outlineLevel="0" collapsed="false">
      <c r="G365" s="2"/>
      <c r="M365" s="2"/>
      <c r="Z365" s="3"/>
      <c r="AL365" s="4"/>
      <c r="AM365" s="5"/>
      <c r="AN365" s="5"/>
      <c r="AO365" s="5"/>
      <c r="AP365" s="5"/>
      <c r="AQ365" s="5"/>
      <c r="AR365" s="5"/>
      <c r="AS365" s="6"/>
      <c r="AU365" s="6"/>
      <c r="AW365" s="6"/>
      <c r="AY365" s="5"/>
      <c r="AZ365" s="5"/>
      <c r="BA365" s="5"/>
      <c r="BC365" s="6"/>
      <c r="BE365" s="6"/>
      <c r="BG365" s="6"/>
      <c r="BH365" s="5"/>
      <c r="BI365" s="5"/>
      <c r="BJ365" s="7"/>
    </row>
    <row r="366" s="1" customFormat="true" ht="14.25" hidden="false" customHeight="false" outlineLevel="0" collapsed="false">
      <c r="G366" s="2"/>
      <c r="M366" s="2"/>
      <c r="Z366" s="3"/>
      <c r="AL366" s="4"/>
      <c r="AM366" s="5"/>
      <c r="AN366" s="5"/>
      <c r="AO366" s="5"/>
      <c r="AP366" s="5"/>
      <c r="AQ366" s="5"/>
      <c r="AR366" s="5"/>
      <c r="AS366" s="6"/>
      <c r="AU366" s="6"/>
      <c r="AW366" s="6"/>
      <c r="AY366" s="5"/>
      <c r="AZ366" s="5"/>
      <c r="BA366" s="5"/>
      <c r="BC366" s="6"/>
      <c r="BE366" s="6"/>
      <c r="BG366" s="6"/>
      <c r="BH366" s="5"/>
      <c r="BI366" s="5"/>
      <c r="BJ366" s="7"/>
    </row>
    <row r="367" s="1" customFormat="true" ht="14.25" hidden="false" customHeight="false" outlineLevel="0" collapsed="false">
      <c r="G367" s="2"/>
      <c r="M367" s="2"/>
      <c r="Z367" s="3"/>
      <c r="AL367" s="4"/>
      <c r="AM367" s="5"/>
      <c r="AN367" s="5"/>
      <c r="AO367" s="5"/>
      <c r="AP367" s="5"/>
      <c r="AQ367" s="5"/>
      <c r="AR367" s="5"/>
      <c r="AS367" s="6"/>
      <c r="AU367" s="6"/>
      <c r="AW367" s="6"/>
      <c r="AY367" s="5"/>
      <c r="AZ367" s="5"/>
      <c r="BA367" s="5"/>
      <c r="BC367" s="6"/>
      <c r="BE367" s="6"/>
      <c r="BG367" s="6"/>
      <c r="BH367" s="5"/>
      <c r="BI367" s="5"/>
      <c r="BJ367" s="7"/>
    </row>
    <row r="368" s="1" customFormat="true" ht="14.25" hidden="false" customHeight="false" outlineLevel="0" collapsed="false">
      <c r="G368" s="2"/>
      <c r="M368" s="2"/>
      <c r="Z368" s="3"/>
      <c r="AL368" s="4"/>
      <c r="AM368" s="5"/>
      <c r="AN368" s="5"/>
      <c r="AO368" s="5"/>
      <c r="AP368" s="5"/>
      <c r="AQ368" s="5"/>
      <c r="AR368" s="5"/>
      <c r="AS368" s="6"/>
      <c r="AU368" s="6"/>
      <c r="AW368" s="6"/>
      <c r="AY368" s="5"/>
      <c r="AZ368" s="5"/>
      <c r="BA368" s="5"/>
      <c r="BC368" s="6"/>
      <c r="BE368" s="6"/>
      <c r="BG368" s="6"/>
      <c r="BH368" s="5"/>
      <c r="BI368" s="5"/>
      <c r="BJ368" s="7"/>
    </row>
    <row r="369" s="1" customFormat="true" ht="14.25" hidden="false" customHeight="false" outlineLevel="0" collapsed="false">
      <c r="G369" s="2"/>
      <c r="M369" s="2"/>
      <c r="Z369" s="3"/>
      <c r="AL369" s="4"/>
      <c r="AM369" s="5"/>
      <c r="AN369" s="5"/>
      <c r="AO369" s="5"/>
      <c r="AP369" s="5"/>
      <c r="AQ369" s="5"/>
      <c r="AR369" s="5"/>
      <c r="AS369" s="6"/>
      <c r="AU369" s="6"/>
      <c r="AW369" s="6"/>
      <c r="AY369" s="5"/>
      <c r="AZ369" s="5"/>
      <c r="BA369" s="5"/>
      <c r="BC369" s="6"/>
      <c r="BE369" s="6"/>
      <c r="BG369" s="6"/>
      <c r="BH369" s="5"/>
      <c r="BI369" s="5"/>
      <c r="BJ369" s="7"/>
    </row>
    <row r="370" s="1" customFormat="true" ht="14.25" hidden="false" customHeight="false" outlineLevel="0" collapsed="false">
      <c r="G370" s="2"/>
      <c r="M370" s="2"/>
      <c r="Z370" s="3"/>
      <c r="AL370" s="4"/>
      <c r="AM370" s="5"/>
      <c r="AN370" s="5"/>
      <c r="AO370" s="5"/>
      <c r="AP370" s="5"/>
      <c r="AQ370" s="5"/>
      <c r="AR370" s="5"/>
      <c r="AS370" s="6"/>
      <c r="AU370" s="6"/>
      <c r="AW370" s="6"/>
      <c r="AY370" s="5"/>
      <c r="AZ370" s="5"/>
      <c r="BA370" s="5"/>
      <c r="BC370" s="6"/>
      <c r="BE370" s="6"/>
      <c r="BG370" s="6"/>
      <c r="BH370" s="5"/>
      <c r="BI370" s="5"/>
      <c r="BJ370" s="7"/>
    </row>
    <row r="371" s="1" customFormat="true" ht="14.25" hidden="false" customHeight="false" outlineLevel="0" collapsed="false">
      <c r="G371" s="2"/>
      <c r="M371" s="2"/>
      <c r="Z371" s="3"/>
      <c r="AL371" s="4"/>
      <c r="AM371" s="5"/>
      <c r="AN371" s="5"/>
      <c r="AO371" s="5"/>
      <c r="AP371" s="5"/>
      <c r="AQ371" s="5"/>
      <c r="AR371" s="5"/>
      <c r="AS371" s="6"/>
      <c r="AU371" s="6"/>
      <c r="AW371" s="6"/>
      <c r="AY371" s="5"/>
      <c r="AZ371" s="5"/>
      <c r="BA371" s="5"/>
      <c r="BC371" s="6"/>
      <c r="BE371" s="6"/>
      <c r="BG371" s="6"/>
      <c r="BH371" s="5"/>
      <c r="BI371" s="5"/>
      <c r="BJ371" s="7"/>
    </row>
    <row r="372" s="1" customFormat="true" ht="14.25" hidden="false" customHeight="false" outlineLevel="0" collapsed="false">
      <c r="G372" s="2"/>
      <c r="M372" s="2"/>
      <c r="Z372" s="3"/>
      <c r="AL372" s="4"/>
      <c r="AM372" s="5"/>
      <c r="AN372" s="5"/>
      <c r="AO372" s="5"/>
      <c r="AP372" s="5"/>
      <c r="AQ372" s="5"/>
      <c r="AR372" s="5"/>
      <c r="AS372" s="6"/>
      <c r="AU372" s="6"/>
      <c r="AW372" s="6"/>
      <c r="AY372" s="5"/>
      <c r="AZ372" s="5"/>
      <c r="BA372" s="5"/>
      <c r="BC372" s="6"/>
      <c r="BE372" s="6"/>
      <c r="BG372" s="6"/>
      <c r="BH372" s="5"/>
      <c r="BI372" s="5"/>
      <c r="BJ372" s="7"/>
    </row>
    <row r="373" s="1" customFormat="true" ht="14.25" hidden="false" customHeight="false" outlineLevel="0" collapsed="false">
      <c r="G373" s="2"/>
      <c r="M373" s="2"/>
      <c r="Z373" s="3"/>
      <c r="AL373" s="4"/>
      <c r="AM373" s="5"/>
      <c r="AN373" s="5"/>
      <c r="AO373" s="5"/>
      <c r="AP373" s="5"/>
      <c r="AQ373" s="5"/>
      <c r="AR373" s="5"/>
      <c r="AS373" s="6"/>
      <c r="AU373" s="6"/>
      <c r="AW373" s="6"/>
      <c r="AY373" s="5"/>
      <c r="AZ373" s="5"/>
      <c r="BA373" s="5"/>
      <c r="BC373" s="6"/>
      <c r="BE373" s="6"/>
      <c r="BG373" s="6"/>
      <c r="BH373" s="5"/>
      <c r="BI373" s="5"/>
      <c r="BJ373" s="7"/>
    </row>
    <row r="374" s="1" customFormat="true" ht="14.25" hidden="false" customHeight="false" outlineLevel="0" collapsed="false">
      <c r="G374" s="2"/>
      <c r="M374" s="2"/>
      <c r="Z374" s="3"/>
      <c r="AL374" s="4"/>
      <c r="AM374" s="5"/>
      <c r="AN374" s="5"/>
      <c r="AO374" s="5"/>
      <c r="AP374" s="5"/>
      <c r="AQ374" s="5"/>
      <c r="AR374" s="5"/>
      <c r="AS374" s="6"/>
      <c r="AU374" s="6"/>
      <c r="AW374" s="6"/>
      <c r="AY374" s="5"/>
      <c r="AZ374" s="5"/>
      <c r="BA374" s="5"/>
      <c r="BC374" s="6"/>
      <c r="BE374" s="6"/>
      <c r="BG374" s="6"/>
      <c r="BH374" s="5"/>
      <c r="BI374" s="5"/>
      <c r="BJ374" s="7"/>
    </row>
    <row r="375" s="1" customFormat="true" ht="14.25" hidden="false" customHeight="false" outlineLevel="0" collapsed="false">
      <c r="G375" s="2"/>
      <c r="M375" s="2"/>
      <c r="Z375" s="3"/>
      <c r="AL375" s="4"/>
      <c r="AM375" s="5"/>
      <c r="AN375" s="5"/>
      <c r="AO375" s="5"/>
      <c r="AP375" s="5"/>
      <c r="AQ375" s="5"/>
      <c r="AR375" s="5"/>
      <c r="AS375" s="6"/>
      <c r="AU375" s="6"/>
      <c r="AW375" s="6"/>
      <c r="AY375" s="5"/>
      <c r="AZ375" s="5"/>
      <c r="BA375" s="5"/>
      <c r="BC375" s="6"/>
      <c r="BE375" s="6"/>
      <c r="BG375" s="6"/>
      <c r="BH375" s="5"/>
      <c r="BI375" s="5"/>
      <c r="BJ375" s="7"/>
    </row>
    <row r="376" s="1" customFormat="true" ht="14.25" hidden="false" customHeight="false" outlineLevel="0" collapsed="false">
      <c r="G376" s="2"/>
      <c r="M376" s="2"/>
      <c r="Z376" s="3"/>
      <c r="AL376" s="4"/>
      <c r="AM376" s="5"/>
      <c r="AN376" s="5"/>
      <c r="AO376" s="5"/>
      <c r="AP376" s="5"/>
      <c r="AQ376" s="5"/>
      <c r="AR376" s="5"/>
      <c r="AS376" s="6"/>
      <c r="AU376" s="6"/>
      <c r="AW376" s="6"/>
      <c r="AY376" s="5"/>
      <c r="AZ376" s="5"/>
      <c r="BA376" s="5"/>
      <c r="BC376" s="6"/>
      <c r="BE376" s="6"/>
      <c r="BG376" s="6"/>
      <c r="BH376" s="5"/>
      <c r="BI376" s="5"/>
      <c r="BJ376" s="7"/>
    </row>
    <row r="377" s="1" customFormat="true" ht="14.25" hidden="false" customHeight="false" outlineLevel="0" collapsed="false">
      <c r="G377" s="2"/>
      <c r="M377" s="2"/>
      <c r="Z377" s="3"/>
      <c r="AL377" s="4"/>
      <c r="AM377" s="5"/>
      <c r="AN377" s="5"/>
      <c r="AO377" s="5"/>
      <c r="AP377" s="5"/>
      <c r="AQ377" s="5"/>
      <c r="AR377" s="5"/>
      <c r="AS377" s="6"/>
      <c r="AU377" s="6"/>
      <c r="AW377" s="6"/>
      <c r="AY377" s="5"/>
      <c r="AZ377" s="5"/>
      <c r="BA377" s="5"/>
      <c r="BC377" s="6"/>
      <c r="BE377" s="6"/>
      <c r="BG377" s="6"/>
      <c r="BH377" s="5"/>
      <c r="BI377" s="5"/>
      <c r="BJ377" s="7"/>
    </row>
    <row r="378" s="1" customFormat="true" ht="14.25" hidden="false" customHeight="false" outlineLevel="0" collapsed="false">
      <c r="G378" s="2"/>
      <c r="M378" s="2"/>
      <c r="Z378" s="3"/>
      <c r="AL378" s="4"/>
      <c r="AM378" s="5"/>
      <c r="AN378" s="5"/>
      <c r="AO378" s="5"/>
      <c r="AP378" s="5"/>
      <c r="AQ378" s="5"/>
      <c r="AR378" s="5"/>
      <c r="AS378" s="6"/>
      <c r="AU378" s="6"/>
      <c r="AW378" s="6"/>
      <c r="AY378" s="5"/>
      <c r="AZ378" s="5"/>
      <c r="BA378" s="5"/>
      <c r="BC378" s="6"/>
      <c r="BE378" s="6"/>
      <c r="BG378" s="6"/>
      <c r="BH378" s="5"/>
      <c r="BI378" s="5"/>
      <c r="BJ378" s="7"/>
    </row>
    <row r="379" s="1" customFormat="true" ht="14.25" hidden="false" customHeight="false" outlineLevel="0" collapsed="false">
      <c r="G379" s="2"/>
      <c r="M379" s="2"/>
      <c r="Z379" s="3"/>
      <c r="AL379" s="4"/>
      <c r="AM379" s="5"/>
      <c r="AN379" s="5"/>
      <c r="AO379" s="5"/>
      <c r="AP379" s="5"/>
      <c r="AQ379" s="5"/>
      <c r="AR379" s="5"/>
      <c r="AS379" s="6"/>
      <c r="AU379" s="6"/>
      <c r="AW379" s="6"/>
      <c r="AY379" s="5"/>
      <c r="AZ379" s="5"/>
      <c r="BA379" s="5"/>
      <c r="BC379" s="6"/>
      <c r="BE379" s="6"/>
      <c r="BG379" s="6"/>
      <c r="BH379" s="5"/>
      <c r="BI379" s="5"/>
      <c r="BJ379" s="7"/>
    </row>
    <row r="380" s="1" customFormat="true" ht="14.25" hidden="false" customHeight="false" outlineLevel="0" collapsed="false">
      <c r="G380" s="2"/>
      <c r="M380" s="2"/>
      <c r="Z380" s="3"/>
      <c r="AL380" s="4"/>
      <c r="AM380" s="5"/>
      <c r="AN380" s="5"/>
      <c r="AO380" s="5"/>
      <c r="AP380" s="5"/>
      <c r="AQ380" s="5"/>
      <c r="AR380" s="5"/>
      <c r="AS380" s="6"/>
      <c r="AU380" s="6"/>
      <c r="AW380" s="6"/>
      <c r="AY380" s="5"/>
      <c r="AZ380" s="5"/>
      <c r="BA380" s="5"/>
      <c r="BC380" s="6"/>
      <c r="BE380" s="6"/>
      <c r="BG380" s="6"/>
      <c r="BH380" s="5"/>
      <c r="BI380" s="5"/>
      <c r="BJ380" s="7"/>
    </row>
    <row r="381" s="1" customFormat="true" ht="14.25" hidden="false" customHeight="false" outlineLevel="0" collapsed="false">
      <c r="G381" s="2"/>
      <c r="M381" s="2"/>
      <c r="Z381" s="3"/>
      <c r="AL381" s="4"/>
      <c r="AM381" s="5"/>
      <c r="AN381" s="5"/>
      <c r="AO381" s="5"/>
      <c r="AP381" s="5"/>
      <c r="AQ381" s="5"/>
      <c r="AR381" s="5"/>
      <c r="AS381" s="6"/>
      <c r="AU381" s="6"/>
      <c r="AW381" s="6"/>
      <c r="AY381" s="5"/>
      <c r="AZ381" s="5"/>
      <c r="BA381" s="5"/>
      <c r="BC381" s="6"/>
      <c r="BE381" s="6"/>
      <c r="BG381" s="6"/>
      <c r="BH381" s="5"/>
      <c r="BI381" s="5"/>
      <c r="BJ381" s="7"/>
    </row>
    <row r="382" s="1" customFormat="true" ht="14.25" hidden="false" customHeight="false" outlineLevel="0" collapsed="false">
      <c r="G382" s="2"/>
      <c r="M382" s="2"/>
      <c r="Z382" s="3"/>
      <c r="AL382" s="4"/>
      <c r="AM382" s="5"/>
      <c r="AN382" s="5"/>
      <c r="AO382" s="5"/>
      <c r="AP382" s="5"/>
      <c r="AQ382" s="5"/>
      <c r="AR382" s="5"/>
      <c r="AS382" s="6"/>
      <c r="AU382" s="6"/>
      <c r="AW382" s="6"/>
      <c r="AY382" s="5"/>
      <c r="AZ382" s="5"/>
      <c r="BA382" s="5"/>
      <c r="BC382" s="6"/>
      <c r="BE382" s="6"/>
      <c r="BG382" s="6"/>
      <c r="BH382" s="5"/>
      <c r="BI382" s="5"/>
      <c r="BJ382" s="7"/>
    </row>
    <row r="383" s="1" customFormat="true" ht="14.25" hidden="false" customHeight="false" outlineLevel="0" collapsed="false">
      <c r="G383" s="2"/>
      <c r="M383" s="2"/>
      <c r="Z383" s="3"/>
      <c r="AL383" s="4"/>
      <c r="AM383" s="5"/>
      <c r="AN383" s="5"/>
      <c r="AO383" s="5"/>
      <c r="AP383" s="5"/>
      <c r="AQ383" s="5"/>
      <c r="AR383" s="5"/>
      <c r="AS383" s="6"/>
      <c r="AU383" s="6"/>
      <c r="AW383" s="6"/>
      <c r="AY383" s="5"/>
      <c r="AZ383" s="5"/>
      <c r="BA383" s="5"/>
      <c r="BC383" s="6"/>
      <c r="BE383" s="6"/>
      <c r="BG383" s="6"/>
      <c r="BH383" s="5"/>
      <c r="BI383" s="5"/>
      <c r="BJ383" s="7"/>
    </row>
    <row r="384" s="1" customFormat="true" ht="14.25" hidden="false" customHeight="false" outlineLevel="0" collapsed="false">
      <c r="G384" s="2"/>
      <c r="M384" s="2"/>
      <c r="Z384" s="3"/>
      <c r="AL384" s="4"/>
      <c r="AM384" s="5"/>
      <c r="AN384" s="5"/>
      <c r="AO384" s="5"/>
      <c r="AP384" s="5"/>
      <c r="AQ384" s="5"/>
      <c r="AR384" s="5"/>
      <c r="AS384" s="6"/>
      <c r="AU384" s="6"/>
      <c r="AW384" s="6"/>
      <c r="AY384" s="5"/>
      <c r="AZ384" s="5"/>
      <c r="BA384" s="5"/>
      <c r="BC384" s="6"/>
      <c r="BE384" s="6"/>
      <c r="BG384" s="6"/>
      <c r="BH384" s="5"/>
      <c r="BI384" s="5"/>
      <c r="BJ384" s="7"/>
    </row>
    <row r="385" s="1" customFormat="true" ht="14.25" hidden="false" customHeight="false" outlineLevel="0" collapsed="false">
      <c r="G385" s="2"/>
      <c r="M385" s="2"/>
      <c r="Z385" s="3"/>
      <c r="AL385" s="4"/>
      <c r="AM385" s="5"/>
      <c r="AN385" s="5"/>
      <c r="AO385" s="5"/>
      <c r="AP385" s="5"/>
      <c r="AQ385" s="5"/>
      <c r="AR385" s="5"/>
      <c r="AS385" s="6"/>
      <c r="AU385" s="6"/>
      <c r="AW385" s="6"/>
      <c r="AY385" s="5"/>
      <c r="AZ385" s="5"/>
      <c r="BA385" s="5"/>
      <c r="BC385" s="6"/>
      <c r="BE385" s="6"/>
      <c r="BG385" s="6"/>
      <c r="BH385" s="5"/>
      <c r="BI385" s="5"/>
      <c r="BJ385" s="7"/>
    </row>
    <row r="386" s="1" customFormat="true" ht="14.25" hidden="false" customHeight="false" outlineLevel="0" collapsed="false">
      <c r="G386" s="2"/>
      <c r="M386" s="2"/>
      <c r="Z386" s="3"/>
      <c r="AL386" s="4"/>
      <c r="AM386" s="5"/>
      <c r="AN386" s="5"/>
      <c r="AO386" s="5"/>
      <c r="AP386" s="5"/>
      <c r="AQ386" s="5"/>
      <c r="AR386" s="5"/>
      <c r="AS386" s="6"/>
      <c r="AU386" s="6"/>
      <c r="AW386" s="6"/>
      <c r="AY386" s="5"/>
      <c r="AZ386" s="5"/>
      <c r="BA386" s="5"/>
      <c r="BC386" s="6"/>
      <c r="BE386" s="6"/>
      <c r="BG386" s="6"/>
      <c r="BH386" s="5"/>
      <c r="BI386" s="5"/>
      <c r="BJ386" s="7"/>
    </row>
    <row r="387" s="1" customFormat="true" ht="14.25" hidden="false" customHeight="false" outlineLevel="0" collapsed="false">
      <c r="G387" s="2"/>
      <c r="M387" s="2"/>
      <c r="Z387" s="3"/>
      <c r="AL387" s="4"/>
      <c r="AM387" s="5"/>
      <c r="AN387" s="5"/>
      <c r="AO387" s="5"/>
      <c r="AP387" s="5"/>
      <c r="AQ387" s="5"/>
      <c r="AR387" s="5"/>
      <c r="AS387" s="6"/>
      <c r="AU387" s="6"/>
      <c r="AW387" s="6"/>
      <c r="AY387" s="5"/>
      <c r="AZ387" s="5"/>
      <c r="BA387" s="5"/>
      <c r="BC387" s="6"/>
      <c r="BE387" s="6"/>
      <c r="BG387" s="6"/>
      <c r="BH387" s="5"/>
      <c r="BI387" s="5"/>
      <c r="BJ387" s="7"/>
    </row>
    <row r="388" s="1" customFormat="true" ht="14.25" hidden="false" customHeight="false" outlineLevel="0" collapsed="false">
      <c r="G388" s="2"/>
      <c r="M388" s="2"/>
      <c r="Z388" s="3"/>
      <c r="AL388" s="4"/>
      <c r="AM388" s="5"/>
      <c r="AN388" s="5"/>
      <c r="AO388" s="5"/>
      <c r="AP388" s="5"/>
      <c r="AQ388" s="5"/>
      <c r="AR388" s="5"/>
      <c r="AS388" s="6"/>
      <c r="AU388" s="6"/>
      <c r="AW388" s="6"/>
      <c r="AY388" s="5"/>
      <c r="AZ388" s="5"/>
      <c r="BA388" s="5"/>
      <c r="BC388" s="6"/>
      <c r="BE388" s="6"/>
      <c r="BG388" s="6"/>
      <c r="BH388" s="5"/>
      <c r="BI388" s="5"/>
      <c r="BJ388" s="7"/>
    </row>
    <row r="389" s="1" customFormat="true" ht="14.25" hidden="false" customHeight="false" outlineLevel="0" collapsed="false">
      <c r="G389" s="2"/>
      <c r="M389" s="2"/>
      <c r="Z389" s="3"/>
      <c r="AL389" s="4"/>
      <c r="AM389" s="5"/>
      <c r="AN389" s="5"/>
      <c r="AO389" s="5"/>
      <c r="AP389" s="5"/>
      <c r="AQ389" s="5"/>
      <c r="AR389" s="5"/>
      <c r="AS389" s="6"/>
      <c r="AU389" s="6"/>
      <c r="AW389" s="6"/>
      <c r="AY389" s="5"/>
      <c r="AZ389" s="5"/>
      <c r="BA389" s="5"/>
      <c r="BC389" s="6"/>
      <c r="BE389" s="6"/>
      <c r="BG389" s="6"/>
      <c r="BH389" s="5"/>
      <c r="BI389" s="5"/>
      <c r="BJ389" s="7"/>
    </row>
    <row r="390" s="1" customFormat="true" ht="14.25" hidden="false" customHeight="false" outlineLevel="0" collapsed="false">
      <c r="G390" s="2"/>
      <c r="M390" s="2"/>
      <c r="Z390" s="3"/>
      <c r="AL390" s="4"/>
      <c r="AM390" s="5"/>
      <c r="AN390" s="5"/>
      <c r="AO390" s="5"/>
      <c r="AP390" s="5"/>
      <c r="AQ390" s="5"/>
      <c r="AR390" s="5"/>
      <c r="AS390" s="6"/>
      <c r="AU390" s="6"/>
      <c r="AW390" s="6"/>
      <c r="AY390" s="5"/>
      <c r="AZ390" s="5"/>
      <c r="BA390" s="5"/>
      <c r="BC390" s="6"/>
      <c r="BE390" s="6"/>
      <c r="BG390" s="6"/>
      <c r="BH390" s="5"/>
      <c r="BI390" s="5"/>
      <c r="BJ390" s="7"/>
    </row>
    <row r="391" s="1" customFormat="true" ht="14.25" hidden="false" customHeight="false" outlineLevel="0" collapsed="false">
      <c r="G391" s="2"/>
      <c r="M391" s="2"/>
      <c r="Z391" s="3"/>
      <c r="AL391" s="4"/>
      <c r="AM391" s="5"/>
      <c r="AN391" s="5"/>
      <c r="AO391" s="5"/>
      <c r="AP391" s="5"/>
      <c r="AQ391" s="5"/>
      <c r="AR391" s="5"/>
      <c r="AS391" s="6"/>
      <c r="AU391" s="6"/>
      <c r="AW391" s="6"/>
      <c r="AY391" s="5"/>
      <c r="AZ391" s="5"/>
      <c r="BA391" s="5"/>
      <c r="BC391" s="6"/>
      <c r="BE391" s="6"/>
      <c r="BG391" s="6"/>
      <c r="BH391" s="5"/>
      <c r="BI391" s="5"/>
      <c r="BJ391" s="7"/>
    </row>
    <row r="392" s="1" customFormat="true" ht="14.25" hidden="false" customHeight="false" outlineLevel="0" collapsed="false">
      <c r="G392" s="2"/>
      <c r="M392" s="2"/>
      <c r="Z392" s="3"/>
      <c r="AL392" s="4"/>
      <c r="AM392" s="5"/>
      <c r="AN392" s="5"/>
      <c r="AO392" s="5"/>
      <c r="AP392" s="5"/>
      <c r="AQ392" s="5"/>
      <c r="AR392" s="5"/>
      <c r="AS392" s="6"/>
      <c r="AU392" s="6"/>
      <c r="AW392" s="6"/>
      <c r="AY392" s="5"/>
      <c r="AZ392" s="5"/>
      <c r="BA392" s="5"/>
      <c r="BC392" s="6"/>
      <c r="BE392" s="6"/>
      <c r="BG392" s="6"/>
      <c r="BH392" s="5"/>
      <c r="BI392" s="5"/>
      <c r="BJ392" s="7"/>
    </row>
    <row r="393" s="1" customFormat="true" ht="14.25" hidden="false" customHeight="false" outlineLevel="0" collapsed="false">
      <c r="G393" s="2"/>
      <c r="M393" s="2"/>
      <c r="Z393" s="3"/>
      <c r="AL393" s="4"/>
      <c r="AM393" s="5"/>
      <c r="AN393" s="5"/>
      <c r="AO393" s="5"/>
      <c r="AP393" s="5"/>
      <c r="AQ393" s="5"/>
      <c r="AR393" s="5"/>
      <c r="AS393" s="6"/>
      <c r="AU393" s="6"/>
      <c r="AW393" s="6"/>
      <c r="AY393" s="5"/>
      <c r="AZ393" s="5"/>
      <c r="BA393" s="5"/>
      <c r="BC393" s="6"/>
      <c r="BE393" s="6"/>
      <c r="BG393" s="6"/>
      <c r="BH393" s="5"/>
      <c r="BI393" s="5"/>
      <c r="BJ393" s="7"/>
    </row>
    <row r="394" s="1" customFormat="true" ht="14.25" hidden="false" customHeight="false" outlineLevel="0" collapsed="false">
      <c r="G394" s="2"/>
      <c r="M394" s="2"/>
      <c r="Z394" s="3"/>
      <c r="AL394" s="4"/>
      <c r="AM394" s="5"/>
      <c r="AN394" s="5"/>
      <c r="AO394" s="5"/>
      <c r="AP394" s="5"/>
      <c r="AQ394" s="5"/>
      <c r="AR394" s="5"/>
      <c r="AS394" s="6"/>
      <c r="AU394" s="6"/>
      <c r="AW394" s="6"/>
      <c r="AY394" s="5"/>
      <c r="AZ394" s="5"/>
      <c r="BA394" s="5"/>
      <c r="BC394" s="6"/>
      <c r="BE394" s="6"/>
      <c r="BG394" s="6"/>
      <c r="BH394" s="5"/>
      <c r="BI394" s="5"/>
      <c r="BJ394" s="7"/>
    </row>
    <row r="395" s="1" customFormat="true" ht="14.25" hidden="false" customHeight="false" outlineLevel="0" collapsed="false">
      <c r="G395" s="2"/>
      <c r="M395" s="2"/>
      <c r="Z395" s="3"/>
      <c r="AL395" s="4"/>
      <c r="AM395" s="5"/>
      <c r="AN395" s="5"/>
      <c r="AO395" s="5"/>
      <c r="AP395" s="5"/>
      <c r="AQ395" s="5"/>
      <c r="AR395" s="5"/>
      <c r="AS395" s="6"/>
      <c r="AU395" s="6"/>
      <c r="AW395" s="6"/>
      <c r="AY395" s="5"/>
      <c r="AZ395" s="5"/>
      <c r="BA395" s="5"/>
      <c r="BC395" s="6"/>
      <c r="BE395" s="6"/>
      <c r="BG395" s="6"/>
      <c r="BH395" s="5"/>
      <c r="BI395" s="5"/>
      <c r="BJ395" s="7"/>
    </row>
    <row r="396" s="1" customFormat="true" ht="14.25" hidden="false" customHeight="false" outlineLevel="0" collapsed="false">
      <c r="G396" s="2"/>
      <c r="M396" s="2"/>
      <c r="Z396" s="3"/>
      <c r="AL396" s="4"/>
      <c r="AM396" s="5"/>
      <c r="AN396" s="5"/>
      <c r="AO396" s="5"/>
      <c r="AP396" s="5"/>
      <c r="AQ396" s="5"/>
      <c r="AR396" s="5"/>
      <c r="AS396" s="6"/>
      <c r="AU396" s="6"/>
      <c r="AW396" s="6"/>
      <c r="AY396" s="5"/>
      <c r="AZ396" s="5"/>
      <c r="BA396" s="5"/>
      <c r="BC396" s="6"/>
      <c r="BE396" s="6"/>
      <c r="BG396" s="6"/>
      <c r="BH396" s="5"/>
      <c r="BI396" s="5"/>
      <c r="BJ396" s="7"/>
    </row>
    <row r="397" s="1" customFormat="true" ht="14.25" hidden="false" customHeight="false" outlineLevel="0" collapsed="false">
      <c r="G397" s="2"/>
      <c r="M397" s="2"/>
      <c r="Z397" s="3"/>
      <c r="AL397" s="4"/>
      <c r="AM397" s="5"/>
      <c r="AN397" s="5"/>
      <c r="AO397" s="5"/>
      <c r="AP397" s="5"/>
      <c r="AQ397" s="5"/>
      <c r="AR397" s="5"/>
      <c r="AS397" s="6"/>
      <c r="AU397" s="6"/>
      <c r="AW397" s="6"/>
      <c r="AY397" s="5"/>
      <c r="AZ397" s="5"/>
      <c r="BA397" s="5"/>
      <c r="BC397" s="6"/>
      <c r="BE397" s="6"/>
      <c r="BG397" s="6"/>
      <c r="BH397" s="5"/>
      <c r="BI397" s="5"/>
      <c r="BJ397" s="7"/>
    </row>
    <row r="398" s="1" customFormat="true" ht="14.25" hidden="false" customHeight="false" outlineLevel="0" collapsed="false">
      <c r="G398" s="2"/>
      <c r="M398" s="2"/>
      <c r="Z398" s="3"/>
      <c r="AL398" s="4"/>
      <c r="AM398" s="5"/>
      <c r="AN398" s="5"/>
      <c r="AO398" s="5"/>
      <c r="AP398" s="5"/>
      <c r="AQ398" s="5"/>
      <c r="AR398" s="5"/>
      <c r="AS398" s="6"/>
      <c r="AU398" s="6"/>
      <c r="AW398" s="6"/>
      <c r="AY398" s="5"/>
      <c r="AZ398" s="5"/>
      <c r="BA398" s="5"/>
      <c r="BC398" s="6"/>
      <c r="BE398" s="6"/>
      <c r="BG398" s="6"/>
      <c r="BH398" s="5"/>
      <c r="BI398" s="5"/>
      <c r="BJ398" s="7"/>
    </row>
    <row r="399" s="1" customFormat="true" ht="14.25" hidden="false" customHeight="false" outlineLevel="0" collapsed="false">
      <c r="G399" s="2"/>
      <c r="M399" s="2"/>
      <c r="Z399" s="3"/>
      <c r="AL399" s="4"/>
      <c r="AM399" s="5"/>
      <c r="AN399" s="5"/>
      <c r="AO399" s="5"/>
      <c r="AP399" s="5"/>
      <c r="AQ399" s="5"/>
      <c r="AR399" s="5"/>
      <c r="AS399" s="6"/>
      <c r="AU399" s="6"/>
      <c r="AW399" s="6"/>
      <c r="AY399" s="5"/>
      <c r="AZ399" s="5"/>
      <c r="BA399" s="5"/>
      <c r="BC399" s="6"/>
      <c r="BE399" s="6"/>
      <c r="BG399" s="6"/>
      <c r="BH399" s="5"/>
      <c r="BI399" s="5"/>
      <c r="BJ399" s="7"/>
    </row>
    <row r="400" s="1" customFormat="true" ht="14.25" hidden="false" customHeight="false" outlineLevel="0" collapsed="false">
      <c r="G400" s="2"/>
      <c r="M400" s="2"/>
      <c r="Z400" s="3"/>
      <c r="AL400" s="4"/>
      <c r="AM400" s="5"/>
      <c r="AN400" s="5"/>
      <c r="AO400" s="5"/>
      <c r="AP400" s="5"/>
      <c r="AQ400" s="5"/>
      <c r="AR400" s="5"/>
      <c r="AS400" s="6"/>
      <c r="AU400" s="6"/>
      <c r="AW400" s="6"/>
      <c r="AY400" s="5"/>
      <c r="AZ400" s="5"/>
      <c r="BA400" s="5"/>
      <c r="BC400" s="6"/>
      <c r="BE400" s="6"/>
      <c r="BG400" s="6"/>
      <c r="BH400" s="5"/>
      <c r="BI400" s="5"/>
      <c r="BJ400" s="7"/>
    </row>
    <row r="401" s="1" customFormat="true" ht="14.25" hidden="false" customHeight="false" outlineLevel="0" collapsed="false">
      <c r="G401" s="2"/>
      <c r="M401" s="2"/>
      <c r="Z401" s="3"/>
      <c r="AL401" s="4"/>
      <c r="AM401" s="5"/>
      <c r="AN401" s="5"/>
      <c r="AO401" s="5"/>
      <c r="AP401" s="5"/>
      <c r="AQ401" s="5"/>
      <c r="AR401" s="5"/>
      <c r="AS401" s="6"/>
      <c r="AU401" s="6"/>
      <c r="AW401" s="6"/>
      <c r="AY401" s="5"/>
      <c r="AZ401" s="5"/>
      <c r="BA401" s="5"/>
      <c r="BC401" s="6"/>
      <c r="BE401" s="6"/>
      <c r="BG401" s="6"/>
      <c r="BH401" s="5"/>
      <c r="BI401" s="5"/>
      <c r="BJ401" s="7"/>
    </row>
    <row r="402" s="1" customFormat="true" ht="14.25" hidden="false" customHeight="false" outlineLevel="0" collapsed="false">
      <c r="G402" s="2"/>
      <c r="M402" s="2"/>
      <c r="Z402" s="3"/>
      <c r="AL402" s="4"/>
      <c r="AM402" s="5"/>
      <c r="AN402" s="5"/>
      <c r="AO402" s="5"/>
      <c r="AP402" s="5"/>
      <c r="AQ402" s="5"/>
      <c r="AR402" s="5"/>
      <c r="AS402" s="6"/>
      <c r="AU402" s="6"/>
      <c r="AW402" s="6"/>
      <c r="AY402" s="5"/>
      <c r="AZ402" s="5"/>
      <c r="BA402" s="5"/>
      <c r="BC402" s="6"/>
      <c r="BE402" s="6"/>
      <c r="BG402" s="6"/>
      <c r="BH402" s="5"/>
      <c r="BI402" s="5"/>
      <c r="BJ402" s="7"/>
    </row>
    <row r="403" s="1" customFormat="true" ht="14.25" hidden="false" customHeight="false" outlineLevel="0" collapsed="false">
      <c r="G403" s="2"/>
      <c r="M403" s="2"/>
      <c r="Z403" s="3"/>
      <c r="AL403" s="4"/>
      <c r="AM403" s="5"/>
      <c r="AN403" s="5"/>
      <c r="AO403" s="5"/>
      <c r="AP403" s="5"/>
      <c r="AQ403" s="5"/>
      <c r="AR403" s="5"/>
      <c r="AS403" s="6"/>
      <c r="AU403" s="6"/>
      <c r="AW403" s="6"/>
      <c r="AY403" s="5"/>
      <c r="AZ403" s="5"/>
      <c r="BA403" s="5"/>
      <c r="BC403" s="6"/>
      <c r="BE403" s="6"/>
      <c r="BG403" s="6"/>
      <c r="BH403" s="5"/>
      <c r="BI403" s="5"/>
      <c r="BJ403" s="7"/>
    </row>
    <row r="404" s="1" customFormat="true" ht="14.25" hidden="false" customHeight="false" outlineLevel="0" collapsed="false">
      <c r="G404" s="2"/>
      <c r="M404" s="2"/>
      <c r="Z404" s="3"/>
      <c r="AL404" s="4"/>
      <c r="AM404" s="5"/>
      <c r="AN404" s="5"/>
      <c r="AO404" s="5"/>
      <c r="AP404" s="5"/>
      <c r="AQ404" s="5"/>
      <c r="AR404" s="5"/>
      <c r="AS404" s="6"/>
      <c r="AU404" s="6"/>
      <c r="AW404" s="6"/>
      <c r="AY404" s="5"/>
      <c r="AZ404" s="5"/>
      <c r="BA404" s="5"/>
      <c r="BC404" s="6"/>
      <c r="BE404" s="6"/>
      <c r="BG404" s="6"/>
      <c r="BH404" s="5"/>
      <c r="BI404" s="5"/>
      <c r="BJ404" s="7"/>
    </row>
    <row r="405" s="1" customFormat="true" ht="14.25" hidden="false" customHeight="false" outlineLevel="0" collapsed="false">
      <c r="G405" s="2"/>
      <c r="M405" s="2"/>
      <c r="Z405" s="3"/>
      <c r="AL405" s="4"/>
      <c r="AM405" s="5"/>
      <c r="AN405" s="5"/>
      <c r="AO405" s="5"/>
      <c r="AP405" s="5"/>
      <c r="AQ405" s="5"/>
      <c r="AR405" s="5"/>
      <c r="AS405" s="6"/>
      <c r="AU405" s="6"/>
      <c r="AW405" s="6"/>
      <c r="AY405" s="5"/>
      <c r="AZ405" s="5"/>
      <c r="BA405" s="5"/>
      <c r="BC405" s="6"/>
      <c r="BE405" s="6"/>
      <c r="BG405" s="6"/>
      <c r="BH405" s="5"/>
      <c r="BI405" s="5"/>
      <c r="BJ405" s="7"/>
    </row>
    <row r="406" s="1" customFormat="true" ht="14.25" hidden="false" customHeight="false" outlineLevel="0" collapsed="false">
      <c r="G406" s="2"/>
      <c r="M406" s="2"/>
      <c r="Z406" s="3"/>
      <c r="AL406" s="4"/>
      <c r="AM406" s="5"/>
      <c r="AN406" s="5"/>
      <c r="AO406" s="5"/>
      <c r="AP406" s="5"/>
      <c r="AQ406" s="5"/>
      <c r="AR406" s="5"/>
      <c r="AS406" s="6"/>
      <c r="AU406" s="6"/>
      <c r="AW406" s="6"/>
      <c r="AY406" s="5"/>
      <c r="AZ406" s="5"/>
      <c r="BA406" s="5"/>
      <c r="BC406" s="6"/>
      <c r="BE406" s="6"/>
      <c r="BG406" s="6"/>
      <c r="BH406" s="5"/>
      <c r="BI406" s="5"/>
      <c r="BJ406" s="7"/>
    </row>
    <row r="407" s="1" customFormat="true" ht="14.25" hidden="false" customHeight="false" outlineLevel="0" collapsed="false">
      <c r="G407" s="2"/>
      <c r="M407" s="2"/>
      <c r="Z407" s="3"/>
      <c r="AL407" s="4"/>
      <c r="AM407" s="5"/>
      <c r="AN407" s="5"/>
      <c r="AO407" s="5"/>
      <c r="AP407" s="5"/>
      <c r="AQ407" s="5"/>
      <c r="AR407" s="5"/>
      <c r="AS407" s="6"/>
      <c r="AU407" s="6"/>
      <c r="AW407" s="6"/>
      <c r="AY407" s="5"/>
      <c r="AZ407" s="5"/>
      <c r="BA407" s="5"/>
      <c r="BC407" s="6"/>
      <c r="BE407" s="6"/>
      <c r="BG407" s="6"/>
      <c r="BH407" s="5"/>
      <c r="BI407" s="5"/>
      <c r="BJ407" s="7"/>
    </row>
    <row r="408" s="1" customFormat="true" ht="14.25" hidden="false" customHeight="false" outlineLevel="0" collapsed="false">
      <c r="G408" s="2"/>
      <c r="M408" s="2"/>
      <c r="Z408" s="3"/>
      <c r="AL408" s="4"/>
      <c r="AM408" s="5"/>
      <c r="AN408" s="5"/>
      <c r="AO408" s="5"/>
      <c r="AP408" s="5"/>
      <c r="AQ408" s="5"/>
      <c r="AR408" s="5"/>
      <c r="AS408" s="6"/>
      <c r="AU408" s="6"/>
      <c r="AW408" s="6"/>
      <c r="AY408" s="5"/>
      <c r="AZ408" s="5"/>
      <c r="BA408" s="5"/>
      <c r="BC408" s="6"/>
      <c r="BE408" s="6"/>
      <c r="BG408" s="6"/>
      <c r="BH408" s="5"/>
      <c r="BI408" s="5"/>
      <c r="BJ408" s="7"/>
    </row>
    <row r="409" s="1" customFormat="true" ht="14.25" hidden="false" customHeight="false" outlineLevel="0" collapsed="false">
      <c r="G409" s="2"/>
      <c r="M409" s="2"/>
      <c r="Z409" s="3"/>
      <c r="AL409" s="4"/>
      <c r="AM409" s="5"/>
      <c r="AN409" s="5"/>
      <c r="AO409" s="5"/>
      <c r="AP409" s="5"/>
      <c r="AQ409" s="5"/>
      <c r="AR409" s="5"/>
      <c r="AS409" s="6"/>
      <c r="AU409" s="6"/>
      <c r="AW409" s="6"/>
      <c r="AY409" s="5"/>
      <c r="AZ409" s="5"/>
      <c r="BA409" s="5"/>
      <c r="BC409" s="6"/>
      <c r="BE409" s="6"/>
      <c r="BG409" s="6"/>
      <c r="BH409" s="5"/>
      <c r="BI409" s="5"/>
      <c r="BJ409" s="7"/>
    </row>
    <row r="410" s="1" customFormat="true" ht="14.25" hidden="false" customHeight="false" outlineLevel="0" collapsed="false">
      <c r="G410" s="2"/>
      <c r="M410" s="2"/>
      <c r="Z410" s="3"/>
      <c r="AL410" s="4"/>
      <c r="AM410" s="5"/>
      <c r="AN410" s="5"/>
      <c r="AO410" s="5"/>
      <c r="AP410" s="5"/>
      <c r="AQ410" s="5"/>
      <c r="AR410" s="5"/>
      <c r="AS410" s="6"/>
      <c r="AU410" s="6"/>
      <c r="AW410" s="6"/>
      <c r="AY410" s="5"/>
      <c r="AZ410" s="5"/>
      <c r="BA410" s="5"/>
      <c r="BC410" s="6"/>
      <c r="BE410" s="6"/>
      <c r="BG410" s="6"/>
      <c r="BH410" s="5"/>
      <c r="BI410" s="5"/>
      <c r="BJ410" s="7"/>
    </row>
    <row r="411" s="1" customFormat="true" ht="14.25" hidden="false" customHeight="false" outlineLevel="0" collapsed="false">
      <c r="G411" s="2"/>
      <c r="M411" s="2"/>
      <c r="Z411" s="3"/>
      <c r="AL411" s="4"/>
      <c r="AM411" s="5"/>
      <c r="AN411" s="5"/>
      <c r="AO411" s="5"/>
      <c r="AP411" s="5"/>
      <c r="AQ411" s="5"/>
      <c r="AR411" s="5"/>
      <c r="AS411" s="6"/>
      <c r="AU411" s="6"/>
      <c r="AW411" s="6"/>
      <c r="AY411" s="5"/>
      <c r="AZ411" s="5"/>
      <c r="BA411" s="5"/>
      <c r="BC411" s="6"/>
      <c r="BE411" s="6"/>
      <c r="BG411" s="6"/>
      <c r="BH411" s="5"/>
      <c r="BI411" s="5"/>
      <c r="BJ411" s="7"/>
    </row>
    <row r="412" s="1" customFormat="true" ht="14.25" hidden="false" customHeight="false" outlineLevel="0" collapsed="false">
      <c r="G412" s="2"/>
      <c r="M412" s="2"/>
      <c r="Z412" s="3"/>
      <c r="AL412" s="4"/>
      <c r="AM412" s="5"/>
      <c r="AN412" s="5"/>
      <c r="AO412" s="5"/>
      <c r="AP412" s="5"/>
      <c r="AQ412" s="5"/>
      <c r="AR412" s="5"/>
      <c r="AS412" s="6"/>
      <c r="AU412" s="6"/>
      <c r="AW412" s="6"/>
      <c r="AY412" s="5"/>
      <c r="AZ412" s="5"/>
      <c r="BA412" s="5"/>
      <c r="BC412" s="6"/>
      <c r="BE412" s="6"/>
      <c r="BG412" s="6"/>
      <c r="BH412" s="5"/>
      <c r="BI412" s="5"/>
      <c r="BJ412" s="7"/>
    </row>
    <row r="413" s="1" customFormat="true" ht="14.25" hidden="false" customHeight="false" outlineLevel="0" collapsed="false">
      <c r="G413" s="2"/>
      <c r="M413" s="2"/>
      <c r="Z413" s="3"/>
      <c r="AL413" s="4"/>
      <c r="AM413" s="5"/>
      <c r="AN413" s="5"/>
      <c r="AO413" s="5"/>
      <c r="AP413" s="5"/>
      <c r="AQ413" s="5"/>
      <c r="AR413" s="5"/>
      <c r="AS413" s="6"/>
      <c r="AU413" s="6"/>
      <c r="AW413" s="6"/>
      <c r="AY413" s="5"/>
      <c r="AZ413" s="5"/>
      <c r="BA413" s="5"/>
      <c r="BC413" s="6"/>
      <c r="BE413" s="6"/>
      <c r="BG413" s="6"/>
      <c r="BH413" s="5"/>
      <c r="BI413" s="5"/>
      <c r="BJ413" s="7"/>
    </row>
    <row r="414" s="1" customFormat="true" ht="14.25" hidden="false" customHeight="false" outlineLevel="0" collapsed="false">
      <c r="G414" s="2"/>
      <c r="M414" s="2"/>
      <c r="Z414" s="3"/>
      <c r="AL414" s="4"/>
      <c r="AM414" s="5"/>
      <c r="AN414" s="5"/>
      <c r="AO414" s="5"/>
      <c r="AP414" s="5"/>
      <c r="AQ414" s="5"/>
      <c r="AR414" s="5"/>
      <c r="AS414" s="6"/>
      <c r="AU414" s="6"/>
      <c r="AW414" s="6"/>
      <c r="AY414" s="5"/>
      <c r="AZ414" s="5"/>
      <c r="BA414" s="5"/>
      <c r="BC414" s="6"/>
      <c r="BE414" s="6"/>
      <c r="BG414" s="6"/>
      <c r="BH414" s="5"/>
      <c r="BI414" s="5"/>
      <c r="BJ414" s="7"/>
    </row>
    <row r="415" s="1" customFormat="true" ht="14.25" hidden="false" customHeight="false" outlineLevel="0" collapsed="false">
      <c r="G415" s="2"/>
      <c r="M415" s="2"/>
      <c r="Z415" s="3"/>
      <c r="AL415" s="4"/>
      <c r="AM415" s="5"/>
      <c r="AN415" s="5"/>
      <c r="AO415" s="5"/>
      <c r="AP415" s="5"/>
      <c r="AQ415" s="5"/>
      <c r="AR415" s="5"/>
      <c r="AS415" s="6"/>
      <c r="AU415" s="6"/>
      <c r="AW415" s="6"/>
      <c r="AY415" s="5"/>
      <c r="AZ415" s="5"/>
      <c r="BA415" s="5"/>
      <c r="BC415" s="6"/>
      <c r="BE415" s="6"/>
      <c r="BG415" s="6"/>
      <c r="BH415" s="5"/>
      <c r="BI415" s="5"/>
      <c r="BJ415" s="7"/>
    </row>
    <row r="416" s="1" customFormat="true" ht="14.25" hidden="false" customHeight="false" outlineLevel="0" collapsed="false">
      <c r="G416" s="2"/>
      <c r="M416" s="2"/>
      <c r="Z416" s="3"/>
      <c r="AL416" s="4"/>
      <c r="AM416" s="5"/>
      <c r="AN416" s="5"/>
      <c r="AO416" s="5"/>
      <c r="AP416" s="5"/>
      <c r="AQ416" s="5"/>
      <c r="AR416" s="5"/>
      <c r="AS416" s="6"/>
      <c r="AU416" s="6"/>
      <c r="AW416" s="6"/>
      <c r="AY416" s="5"/>
      <c r="AZ416" s="5"/>
      <c r="BA416" s="5"/>
      <c r="BC416" s="6"/>
      <c r="BE416" s="6"/>
      <c r="BG416" s="6"/>
      <c r="BH416" s="5"/>
      <c r="BI416" s="5"/>
      <c r="BJ416" s="7"/>
    </row>
    <row r="417" s="1" customFormat="true" ht="14.25" hidden="false" customHeight="false" outlineLevel="0" collapsed="false">
      <c r="G417" s="2"/>
      <c r="M417" s="2"/>
      <c r="Z417" s="3"/>
      <c r="AL417" s="4"/>
      <c r="AM417" s="5"/>
      <c r="AN417" s="5"/>
      <c r="AO417" s="5"/>
      <c r="AP417" s="5"/>
      <c r="AQ417" s="5"/>
      <c r="AR417" s="5"/>
      <c r="AS417" s="6"/>
      <c r="AU417" s="6"/>
      <c r="AW417" s="6"/>
      <c r="AY417" s="5"/>
      <c r="AZ417" s="5"/>
      <c r="BA417" s="5"/>
      <c r="BC417" s="6"/>
      <c r="BE417" s="6"/>
      <c r="BG417" s="6"/>
      <c r="BH417" s="5"/>
      <c r="BI417" s="5"/>
      <c r="BJ417" s="7"/>
    </row>
    <row r="418" s="1" customFormat="true" ht="14.25" hidden="false" customHeight="false" outlineLevel="0" collapsed="false">
      <c r="G418" s="2"/>
      <c r="M418" s="2"/>
      <c r="Z418" s="3"/>
      <c r="AL418" s="4"/>
      <c r="AM418" s="5"/>
      <c r="AN418" s="5"/>
      <c r="AO418" s="5"/>
      <c r="AP418" s="5"/>
      <c r="AQ418" s="5"/>
      <c r="AR418" s="5"/>
      <c r="AS418" s="6"/>
      <c r="AU418" s="6"/>
      <c r="AW418" s="6"/>
      <c r="AY418" s="5"/>
      <c r="AZ418" s="5"/>
      <c r="BA418" s="5"/>
      <c r="BC418" s="6"/>
      <c r="BE418" s="6"/>
      <c r="BG418" s="6"/>
      <c r="BH418" s="5"/>
      <c r="BI418" s="5"/>
      <c r="BJ418" s="7"/>
    </row>
    <row r="419" s="1" customFormat="true" ht="14.25" hidden="false" customHeight="false" outlineLevel="0" collapsed="false">
      <c r="G419" s="2"/>
      <c r="M419" s="2"/>
      <c r="Z419" s="3"/>
      <c r="AL419" s="4"/>
      <c r="AM419" s="5"/>
      <c r="AN419" s="5"/>
      <c r="AO419" s="5"/>
      <c r="AP419" s="5"/>
      <c r="AQ419" s="5"/>
      <c r="AR419" s="5"/>
      <c r="AS419" s="6"/>
      <c r="AU419" s="6"/>
      <c r="AW419" s="6"/>
      <c r="AY419" s="5"/>
      <c r="AZ419" s="5"/>
      <c r="BA419" s="5"/>
      <c r="BC419" s="6"/>
      <c r="BE419" s="6"/>
      <c r="BG419" s="6"/>
      <c r="BH419" s="5"/>
      <c r="BI419" s="5"/>
      <c r="BJ419" s="7"/>
    </row>
    <row r="420" s="1" customFormat="true" ht="14.25" hidden="false" customHeight="false" outlineLevel="0" collapsed="false">
      <c r="G420" s="2"/>
      <c r="M420" s="2"/>
      <c r="Z420" s="3"/>
      <c r="AL420" s="4"/>
      <c r="AM420" s="5"/>
      <c r="AN420" s="5"/>
      <c r="AO420" s="5"/>
      <c r="AP420" s="5"/>
      <c r="AQ420" s="5"/>
      <c r="AR420" s="5"/>
      <c r="AS420" s="6"/>
      <c r="AU420" s="6"/>
      <c r="AW420" s="6"/>
      <c r="AY420" s="5"/>
      <c r="AZ420" s="5"/>
      <c r="BA420" s="5"/>
      <c r="BC420" s="6"/>
      <c r="BE420" s="6"/>
      <c r="BG420" s="6"/>
      <c r="BH420" s="5"/>
      <c r="BI420" s="5"/>
      <c r="BJ420" s="7"/>
    </row>
    <row r="421" s="1" customFormat="true" ht="14.25" hidden="false" customHeight="false" outlineLevel="0" collapsed="false">
      <c r="G421" s="2"/>
      <c r="M421" s="2"/>
      <c r="Z421" s="3"/>
      <c r="AL421" s="4"/>
      <c r="AM421" s="5"/>
      <c r="AN421" s="5"/>
      <c r="AO421" s="5"/>
      <c r="AP421" s="5"/>
      <c r="AQ421" s="5"/>
      <c r="AR421" s="5"/>
      <c r="AS421" s="6"/>
      <c r="AU421" s="6"/>
      <c r="AW421" s="6"/>
      <c r="AY421" s="5"/>
      <c r="AZ421" s="5"/>
      <c r="BA421" s="5"/>
      <c r="BC421" s="6"/>
      <c r="BE421" s="6"/>
      <c r="BG421" s="6"/>
      <c r="BH421" s="5"/>
      <c r="BI421" s="5"/>
      <c r="BJ421" s="7"/>
    </row>
    <row r="422" s="1" customFormat="true" ht="14.25" hidden="false" customHeight="false" outlineLevel="0" collapsed="false">
      <c r="G422" s="2"/>
      <c r="M422" s="2"/>
      <c r="Z422" s="3"/>
      <c r="AL422" s="4"/>
      <c r="AM422" s="5"/>
      <c r="AN422" s="5"/>
      <c r="AO422" s="5"/>
      <c r="AP422" s="5"/>
      <c r="AQ422" s="5"/>
      <c r="AR422" s="5"/>
      <c r="AS422" s="6"/>
      <c r="AU422" s="6"/>
      <c r="AW422" s="6"/>
      <c r="AY422" s="5"/>
      <c r="AZ422" s="5"/>
      <c r="BA422" s="5"/>
      <c r="BC422" s="6"/>
      <c r="BE422" s="6"/>
      <c r="BG422" s="6"/>
      <c r="BH422" s="5"/>
      <c r="BI422" s="5"/>
      <c r="BJ422" s="7"/>
    </row>
    <row r="423" s="1" customFormat="true" ht="14.25" hidden="false" customHeight="false" outlineLevel="0" collapsed="false">
      <c r="G423" s="2"/>
      <c r="M423" s="2"/>
      <c r="Z423" s="3"/>
      <c r="AL423" s="4"/>
      <c r="AM423" s="5"/>
      <c r="AN423" s="5"/>
      <c r="AO423" s="5"/>
      <c r="AP423" s="5"/>
      <c r="AQ423" s="5"/>
      <c r="AR423" s="5"/>
      <c r="AS423" s="6"/>
      <c r="AU423" s="6"/>
      <c r="AW423" s="6"/>
      <c r="AY423" s="5"/>
      <c r="AZ423" s="5"/>
      <c r="BA423" s="5"/>
      <c r="BC423" s="6"/>
      <c r="BE423" s="6"/>
      <c r="BG423" s="6"/>
      <c r="BH423" s="5"/>
      <c r="BI423" s="5"/>
      <c r="BJ423" s="7"/>
    </row>
    <row r="424" s="1" customFormat="true" ht="14.25" hidden="false" customHeight="false" outlineLevel="0" collapsed="false">
      <c r="G424" s="2"/>
      <c r="M424" s="2"/>
      <c r="Z424" s="3"/>
      <c r="AL424" s="4"/>
      <c r="AM424" s="5"/>
      <c r="AN424" s="5"/>
      <c r="AO424" s="5"/>
      <c r="AP424" s="5"/>
      <c r="AQ424" s="5"/>
      <c r="AR424" s="5"/>
      <c r="AS424" s="6"/>
      <c r="AU424" s="6"/>
      <c r="AW424" s="6"/>
      <c r="AY424" s="5"/>
      <c r="AZ424" s="5"/>
      <c r="BA424" s="5"/>
      <c r="BC424" s="6"/>
      <c r="BE424" s="6"/>
      <c r="BG424" s="6"/>
      <c r="BH424" s="5"/>
      <c r="BI424" s="5"/>
      <c r="BJ424" s="7"/>
    </row>
    <row r="425" s="1" customFormat="true" ht="14.25" hidden="false" customHeight="false" outlineLevel="0" collapsed="false">
      <c r="G425" s="2"/>
      <c r="M425" s="2"/>
      <c r="Z425" s="3"/>
      <c r="AL425" s="4"/>
      <c r="AM425" s="5"/>
      <c r="AN425" s="5"/>
      <c r="AO425" s="5"/>
      <c r="AP425" s="5"/>
      <c r="AQ425" s="5"/>
      <c r="AR425" s="5"/>
      <c r="AS425" s="6"/>
      <c r="AU425" s="6"/>
      <c r="AW425" s="6"/>
      <c r="AY425" s="5"/>
      <c r="AZ425" s="5"/>
      <c r="BA425" s="5"/>
      <c r="BC425" s="6"/>
      <c r="BE425" s="6"/>
      <c r="BG425" s="6"/>
      <c r="BH425" s="5"/>
      <c r="BI425" s="5"/>
      <c r="BJ425" s="7"/>
    </row>
    <row r="426" s="1" customFormat="true" ht="14.25" hidden="false" customHeight="false" outlineLevel="0" collapsed="false">
      <c r="G426" s="2"/>
      <c r="M426" s="2"/>
      <c r="Z426" s="3"/>
      <c r="AL426" s="4"/>
      <c r="AM426" s="5"/>
      <c r="AN426" s="5"/>
      <c r="AO426" s="5"/>
      <c r="AP426" s="5"/>
      <c r="AQ426" s="5"/>
      <c r="AR426" s="5"/>
      <c r="AS426" s="6"/>
      <c r="AU426" s="6"/>
      <c r="AW426" s="6"/>
      <c r="AY426" s="5"/>
      <c r="AZ426" s="5"/>
      <c r="BA426" s="5"/>
      <c r="BC426" s="6"/>
      <c r="BE426" s="6"/>
      <c r="BG426" s="6"/>
      <c r="BH426" s="5"/>
      <c r="BI426" s="5"/>
      <c r="BJ426" s="7"/>
    </row>
    <row r="427" s="1" customFormat="true" ht="14.25" hidden="false" customHeight="false" outlineLevel="0" collapsed="false">
      <c r="G427" s="2"/>
      <c r="M427" s="2"/>
      <c r="Z427" s="3"/>
      <c r="AL427" s="4"/>
      <c r="AM427" s="5"/>
      <c r="AN427" s="5"/>
      <c r="AO427" s="5"/>
      <c r="AP427" s="5"/>
      <c r="AQ427" s="5"/>
      <c r="AR427" s="5"/>
      <c r="AS427" s="6"/>
      <c r="AU427" s="6"/>
      <c r="AW427" s="6"/>
      <c r="AY427" s="5"/>
      <c r="AZ427" s="5"/>
      <c r="BA427" s="5"/>
      <c r="BC427" s="6"/>
      <c r="BE427" s="6"/>
      <c r="BG427" s="6"/>
      <c r="BH427" s="5"/>
      <c r="BI427" s="5"/>
      <c r="BJ427" s="7"/>
    </row>
    <row r="428" s="1" customFormat="true" ht="14.25" hidden="false" customHeight="false" outlineLevel="0" collapsed="false">
      <c r="G428" s="2"/>
      <c r="M428" s="2"/>
      <c r="Z428" s="3"/>
      <c r="AL428" s="4"/>
      <c r="AM428" s="5"/>
      <c r="AN428" s="5"/>
      <c r="AO428" s="5"/>
      <c r="AP428" s="5"/>
      <c r="AQ428" s="5"/>
      <c r="AR428" s="5"/>
      <c r="AS428" s="6"/>
      <c r="AU428" s="6"/>
      <c r="AW428" s="6"/>
      <c r="AY428" s="5"/>
      <c r="AZ428" s="5"/>
      <c r="BA428" s="5"/>
      <c r="BC428" s="6"/>
      <c r="BE428" s="6"/>
      <c r="BG428" s="6"/>
      <c r="BH428" s="5"/>
      <c r="BI428" s="5"/>
      <c r="BJ428" s="7"/>
    </row>
    <row r="429" s="1" customFormat="true" ht="14.25" hidden="false" customHeight="false" outlineLevel="0" collapsed="false">
      <c r="G429" s="2"/>
      <c r="M429" s="2"/>
      <c r="Z429" s="3"/>
      <c r="AL429" s="4"/>
      <c r="AM429" s="5"/>
      <c r="AN429" s="5"/>
      <c r="AO429" s="5"/>
      <c r="AP429" s="5"/>
      <c r="AQ429" s="5"/>
      <c r="AR429" s="5"/>
      <c r="AS429" s="6"/>
      <c r="AU429" s="6"/>
      <c r="AW429" s="6"/>
      <c r="AY429" s="5"/>
      <c r="AZ429" s="5"/>
      <c r="BA429" s="5"/>
      <c r="BC429" s="6"/>
      <c r="BE429" s="6"/>
      <c r="BG429" s="6"/>
      <c r="BH429" s="5"/>
      <c r="BI429" s="5"/>
      <c r="BJ429" s="7"/>
    </row>
    <row r="430" s="1" customFormat="true" ht="14.25" hidden="false" customHeight="false" outlineLevel="0" collapsed="false">
      <c r="G430" s="2"/>
      <c r="M430" s="2"/>
      <c r="Z430" s="3"/>
      <c r="AL430" s="4"/>
      <c r="AM430" s="5"/>
      <c r="AN430" s="5"/>
      <c r="AO430" s="5"/>
      <c r="AP430" s="5"/>
      <c r="AQ430" s="5"/>
      <c r="AR430" s="5"/>
      <c r="AS430" s="6"/>
      <c r="AU430" s="6"/>
      <c r="AW430" s="6"/>
      <c r="AY430" s="5"/>
      <c r="AZ430" s="5"/>
      <c r="BA430" s="5"/>
      <c r="BC430" s="6"/>
      <c r="BE430" s="6"/>
      <c r="BG430" s="6"/>
      <c r="BH430" s="5"/>
      <c r="BI430" s="5"/>
      <c r="BJ430" s="7"/>
    </row>
    <row r="431" s="1" customFormat="true" ht="14.25" hidden="false" customHeight="false" outlineLevel="0" collapsed="false">
      <c r="G431" s="2"/>
      <c r="M431" s="2"/>
      <c r="Z431" s="3"/>
      <c r="AL431" s="4"/>
      <c r="AM431" s="5"/>
      <c r="AN431" s="5"/>
      <c r="AO431" s="5"/>
      <c r="AP431" s="5"/>
      <c r="AQ431" s="5"/>
      <c r="AR431" s="5"/>
      <c r="AS431" s="6"/>
      <c r="AU431" s="6"/>
      <c r="AW431" s="6"/>
      <c r="AY431" s="5"/>
      <c r="AZ431" s="5"/>
      <c r="BA431" s="5"/>
      <c r="BC431" s="6"/>
      <c r="BE431" s="6"/>
      <c r="BG431" s="6"/>
      <c r="BH431" s="5"/>
      <c r="BI431" s="5"/>
      <c r="BJ431" s="7"/>
    </row>
    <row r="432" s="1" customFormat="true" ht="14.25" hidden="false" customHeight="false" outlineLevel="0" collapsed="false">
      <c r="G432" s="2"/>
      <c r="M432" s="2"/>
      <c r="Z432" s="3"/>
      <c r="AL432" s="4"/>
      <c r="AM432" s="5"/>
      <c r="AN432" s="5"/>
      <c r="AO432" s="5"/>
      <c r="AP432" s="5"/>
      <c r="AQ432" s="5"/>
      <c r="AR432" s="5"/>
      <c r="AS432" s="6"/>
      <c r="AU432" s="6"/>
      <c r="AW432" s="6"/>
      <c r="AY432" s="5"/>
      <c r="AZ432" s="5"/>
      <c r="BA432" s="5"/>
      <c r="BC432" s="6"/>
      <c r="BE432" s="6"/>
      <c r="BG432" s="6"/>
      <c r="BH432" s="5"/>
      <c r="BI432" s="5"/>
      <c r="BJ432" s="7"/>
    </row>
    <row r="433" s="1" customFormat="true" ht="14.25" hidden="false" customHeight="false" outlineLevel="0" collapsed="false">
      <c r="G433" s="2"/>
      <c r="M433" s="2"/>
      <c r="Z433" s="3"/>
      <c r="AL433" s="4"/>
      <c r="AM433" s="5"/>
      <c r="AN433" s="5"/>
      <c r="AO433" s="5"/>
      <c r="AP433" s="5"/>
      <c r="AQ433" s="5"/>
      <c r="AR433" s="5"/>
      <c r="AS433" s="6"/>
      <c r="AU433" s="6"/>
      <c r="AW433" s="6"/>
      <c r="AY433" s="5"/>
      <c r="AZ433" s="5"/>
      <c r="BA433" s="5"/>
      <c r="BC433" s="6"/>
      <c r="BE433" s="6"/>
      <c r="BG433" s="6"/>
      <c r="BH433" s="5"/>
      <c r="BI433" s="5"/>
      <c r="BJ433" s="7"/>
    </row>
    <row r="434" s="1" customFormat="true" ht="14.25" hidden="false" customHeight="false" outlineLevel="0" collapsed="false">
      <c r="G434" s="2"/>
      <c r="M434" s="2"/>
      <c r="Z434" s="3"/>
      <c r="AL434" s="4"/>
      <c r="AM434" s="5"/>
      <c r="AN434" s="5"/>
      <c r="AO434" s="5"/>
      <c r="AP434" s="5"/>
      <c r="AQ434" s="5"/>
      <c r="AR434" s="5"/>
      <c r="AS434" s="6"/>
      <c r="AU434" s="6"/>
      <c r="AW434" s="6"/>
      <c r="AY434" s="5"/>
      <c r="AZ434" s="5"/>
      <c r="BA434" s="5"/>
      <c r="BC434" s="6"/>
      <c r="BE434" s="6"/>
      <c r="BG434" s="6"/>
      <c r="BH434" s="5"/>
      <c r="BI434" s="5"/>
      <c r="BJ434" s="7"/>
    </row>
    <row r="435" s="1" customFormat="true" ht="14.25" hidden="false" customHeight="false" outlineLevel="0" collapsed="false">
      <c r="G435" s="2"/>
      <c r="M435" s="2"/>
      <c r="Z435" s="3"/>
      <c r="AL435" s="4"/>
      <c r="AM435" s="5"/>
      <c r="AN435" s="5"/>
      <c r="AO435" s="5"/>
      <c r="AP435" s="5"/>
      <c r="AQ435" s="5"/>
      <c r="AR435" s="5"/>
      <c r="AS435" s="6"/>
      <c r="AU435" s="6"/>
      <c r="AW435" s="6"/>
      <c r="AY435" s="5"/>
      <c r="AZ435" s="5"/>
      <c r="BA435" s="5"/>
      <c r="BC435" s="6"/>
      <c r="BE435" s="6"/>
      <c r="BG435" s="6"/>
      <c r="BH435" s="5"/>
      <c r="BI435" s="5"/>
      <c r="BJ435" s="7"/>
    </row>
    <row r="436" s="1" customFormat="true" ht="14.25" hidden="false" customHeight="false" outlineLevel="0" collapsed="false">
      <c r="G436" s="2"/>
      <c r="M436" s="2"/>
      <c r="Z436" s="3"/>
      <c r="AL436" s="4"/>
      <c r="AM436" s="5"/>
      <c r="AN436" s="5"/>
      <c r="AO436" s="5"/>
      <c r="AP436" s="5"/>
      <c r="AQ436" s="5"/>
      <c r="AR436" s="5"/>
      <c r="AS436" s="6"/>
      <c r="AU436" s="6"/>
      <c r="AW436" s="6"/>
      <c r="AY436" s="5"/>
      <c r="AZ436" s="5"/>
      <c r="BA436" s="5"/>
      <c r="BC436" s="6"/>
      <c r="BE436" s="6"/>
      <c r="BG436" s="6"/>
      <c r="BH436" s="5"/>
      <c r="BI436" s="5"/>
      <c r="BJ436" s="7"/>
    </row>
    <row r="437" s="1" customFormat="true" ht="14.25" hidden="false" customHeight="false" outlineLevel="0" collapsed="false">
      <c r="G437" s="2"/>
      <c r="M437" s="2"/>
      <c r="Z437" s="3"/>
      <c r="AL437" s="4"/>
      <c r="AM437" s="5"/>
      <c r="AN437" s="5"/>
      <c r="AO437" s="5"/>
      <c r="AP437" s="5"/>
      <c r="AQ437" s="5"/>
      <c r="AR437" s="5"/>
      <c r="AS437" s="6"/>
      <c r="AU437" s="6"/>
      <c r="AW437" s="6"/>
      <c r="AY437" s="5"/>
      <c r="AZ437" s="5"/>
      <c r="BA437" s="5"/>
      <c r="BC437" s="6"/>
      <c r="BE437" s="6"/>
      <c r="BG437" s="6"/>
      <c r="BH437" s="5"/>
      <c r="BI437" s="5"/>
      <c r="BJ437" s="7"/>
    </row>
    <row r="438" s="1" customFormat="true" ht="14.25" hidden="false" customHeight="false" outlineLevel="0" collapsed="false">
      <c r="G438" s="2"/>
      <c r="M438" s="2"/>
      <c r="Z438" s="3"/>
      <c r="AL438" s="4"/>
      <c r="AM438" s="5"/>
      <c r="AN438" s="5"/>
      <c r="AO438" s="5"/>
      <c r="AP438" s="5"/>
      <c r="AQ438" s="5"/>
      <c r="AR438" s="5"/>
      <c r="AS438" s="6"/>
      <c r="AU438" s="6"/>
      <c r="AW438" s="6"/>
      <c r="AY438" s="5"/>
      <c r="AZ438" s="5"/>
      <c r="BA438" s="5"/>
      <c r="BC438" s="6"/>
      <c r="BE438" s="6"/>
      <c r="BG438" s="6"/>
      <c r="BH438" s="5"/>
      <c r="BI438" s="5"/>
      <c r="BJ438" s="7"/>
    </row>
    <row r="439" s="1" customFormat="true" ht="14.25" hidden="false" customHeight="false" outlineLevel="0" collapsed="false">
      <c r="G439" s="2"/>
      <c r="M439" s="2"/>
      <c r="Z439" s="3"/>
      <c r="AL439" s="4"/>
      <c r="AM439" s="5"/>
      <c r="AN439" s="5"/>
      <c r="AO439" s="5"/>
      <c r="AP439" s="5"/>
      <c r="AQ439" s="5"/>
      <c r="AR439" s="5"/>
      <c r="AS439" s="6"/>
      <c r="AU439" s="6"/>
      <c r="AW439" s="6"/>
      <c r="AY439" s="5"/>
      <c r="AZ439" s="5"/>
      <c r="BA439" s="5"/>
      <c r="BC439" s="6"/>
      <c r="BE439" s="6"/>
      <c r="BG439" s="6"/>
      <c r="BH439" s="5"/>
      <c r="BI439" s="5"/>
      <c r="BJ439" s="7"/>
    </row>
    <row r="440" s="1" customFormat="true" ht="14.25" hidden="false" customHeight="false" outlineLevel="0" collapsed="false">
      <c r="G440" s="2"/>
      <c r="M440" s="2"/>
      <c r="Z440" s="3"/>
      <c r="AL440" s="4"/>
      <c r="AM440" s="5"/>
      <c r="AN440" s="5"/>
      <c r="AO440" s="5"/>
      <c r="AP440" s="5"/>
      <c r="AQ440" s="5"/>
      <c r="AR440" s="5"/>
      <c r="AS440" s="6"/>
      <c r="AU440" s="6"/>
      <c r="AW440" s="6"/>
      <c r="AY440" s="5"/>
      <c r="AZ440" s="5"/>
      <c r="BA440" s="5"/>
      <c r="BC440" s="6"/>
      <c r="BE440" s="6"/>
      <c r="BG440" s="6"/>
      <c r="BH440" s="5"/>
      <c r="BI440" s="5"/>
      <c r="BJ440" s="7"/>
    </row>
    <row r="441" s="1" customFormat="true" ht="14.25" hidden="false" customHeight="false" outlineLevel="0" collapsed="false">
      <c r="G441" s="2"/>
      <c r="M441" s="2"/>
      <c r="Z441" s="3"/>
      <c r="AL441" s="4"/>
      <c r="AM441" s="5"/>
      <c r="AN441" s="5"/>
      <c r="AO441" s="5"/>
      <c r="AP441" s="5"/>
      <c r="AQ441" s="5"/>
      <c r="AR441" s="5"/>
      <c r="AS441" s="6"/>
      <c r="AU441" s="6"/>
      <c r="AW441" s="6"/>
      <c r="AY441" s="5"/>
      <c r="AZ441" s="5"/>
      <c r="BA441" s="5"/>
      <c r="BC441" s="6"/>
      <c r="BE441" s="6"/>
      <c r="BG441" s="6"/>
      <c r="BH441" s="5"/>
      <c r="BI441" s="5"/>
      <c r="BJ441" s="7"/>
    </row>
    <row r="442" s="1" customFormat="true" ht="14.25" hidden="false" customHeight="false" outlineLevel="0" collapsed="false">
      <c r="G442" s="2"/>
      <c r="M442" s="2"/>
      <c r="Z442" s="3"/>
      <c r="AL442" s="4"/>
      <c r="AM442" s="5"/>
      <c r="AN442" s="5"/>
      <c r="AO442" s="5"/>
      <c r="AP442" s="5"/>
      <c r="AQ442" s="5"/>
      <c r="AR442" s="5"/>
      <c r="AS442" s="6"/>
      <c r="AU442" s="6"/>
      <c r="AW442" s="6"/>
      <c r="AY442" s="5"/>
      <c r="AZ442" s="5"/>
      <c r="BA442" s="5"/>
      <c r="BC442" s="6"/>
      <c r="BE442" s="6"/>
      <c r="BG442" s="6"/>
      <c r="BH442" s="5"/>
      <c r="BI442" s="5"/>
      <c r="BJ442" s="7"/>
    </row>
    <row r="443" s="1" customFormat="true" ht="14.25" hidden="false" customHeight="false" outlineLevel="0" collapsed="false">
      <c r="G443" s="2"/>
      <c r="M443" s="2"/>
      <c r="Z443" s="3"/>
      <c r="AL443" s="4"/>
      <c r="AM443" s="5"/>
      <c r="AN443" s="5"/>
      <c r="AO443" s="5"/>
      <c r="AP443" s="5"/>
      <c r="AQ443" s="5"/>
      <c r="AR443" s="5"/>
      <c r="AS443" s="6"/>
      <c r="AU443" s="6"/>
      <c r="AW443" s="6"/>
      <c r="AY443" s="5"/>
      <c r="AZ443" s="5"/>
      <c r="BA443" s="5"/>
      <c r="BC443" s="6"/>
      <c r="BE443" s="6"/>
      <c r="BG443" s="6"/>
      <c r="BH443" s="5"/>
      <c r="BI443" s="5"/>
      <c r="BJ443" s="7"/>
    </row>
    <row r="444" s="1" customFormat="true" ht="14.25" hidden="false" customHeight="false" outlineLevel="0" collapsed="false">
      <c r="G444" s="2"/>
      <c r="M444" s="2"/>
      <c r="Z444" s="3"/>
      <c r="AL444" s="4"/>
      <c r="AM444" s="5"/>
      <c r="AN444" s="5"/>
      <c r="AO444" s="5"/>
      <c r="AP444" s="5"/>
      <c r="AQ444" s="5"/>
      <c r="AR444" s="5"/>
      <c r="AS444" s="6"/>
      <c r="AU444" s="6"/>
      <c r="AW444" s="6"/>
      <c r="AY444" s="5"/>
      <c r="AZ444" s="5"/>
      <c r="BA444" s="5"/>
      <c r="BC444" s="6"/>
      <c r="BE444" s="6"/>
      <c r="BG444" s="6"/>
      <c r="BH444" s="5"/>
      <c r="BI444" s="5"/>
      <c r="BJ444" s="7"/>
    </row>
    <row r="445" s="1" customFormat="true" ht="14.25" hidden="false" customHeight="false" outlineLevel="0" collapsed="false">
      <c r="G445" s="2"/>
      <c r="M445" s="2"/>
      <c r="Z445" s="3"/>
      <c r="AL445" s="4"/>
      <c r="AM445" s="5"/>
      <c r="AN445" s="5"/>
      <c r="AO445" s="5"/>
      <c r="AP445" s="5"/>
      <c r="AQ445" s="5"/>
      <c r="AR445" s="5"/>
      <c r="AS445" s="6"/>
      <c r="AU445" s="6"/>
      <c r="AW445" s="6"/>
      <c r="AY445" s="5"/>
      <c r="AZ445" s="5"/>
      <c r="BA445" s="5"/>
      <c r="BC445" s="6"/>
      <c r="BE445" s="6"/>
      <c r="BG445" s="6"/>
      <c r="BH445" s="5"/>
      <c r="BI445" s="5"/>
      <c r="BJ445" s="7"/>
    </row>
    <row r="446" s="1" customFormat="true" ht="14.25" hidden="false" customHeight="false" outlineLevel="0" collapsed="false">
      <c r="G446" s="2"/>
      <c r="M446" s="2"/>
      <c r="Z446" s="3"/>
      <c r="AL446" s="4"/>
      <c r="AM446" s="5"/>
      <c r="AN446" s="5"/>
      <c r="AO446" s="5"/>
      <c r="AP446" s="5"/>
      <c r="AQ446" s="5"/>
      <c r="AR446" s="5"/>
      <c r="AS446" s="6"/>
      <c r="AU446" s="6"/>
      <c r="AW446" s="6"/>
      <c r="AY446" s="5"/>
      <c r="AZ446" s="5"/>
      <c r="BA446" s="5"/>
      <c r="BC446" s="6"/>
      <c r="BE446" s="6"/>
      <c r="BG446" s="6"/>
      <c r="BH446" s="5"/>
      <c r="BI446" s="5"/>
      <c r="BJ446" s="7"/>
    </row>
    <row r="447" s="1" customFormat="true" ht="14.25" hidden="false" customHeight="false" outlineLevel="0" collapsed="false">
      <c r="G447" s="2"/>
      <c r="M447" s="2"/>
      <c r="Z447" s="3"/>
      <c r="AL447" s="4"/>
      <c r="AM447" s="5"/>
      <c r="AN447" s="5"/>
      <c r="AO447" s="5"/>
      <c r="AP447" s="5"/>
      <c r="AQ447" s="5"/>
      <c r="AR447" s="5"/>
      <c r="AS447" s="6"/>
      <c r="AU447" s="6"/>
      <c r="AW447" s="6"/>
      <c r="AY447" s="5"/>
      <c r="AZ447" s="5"/>
      <c r="BA447" s="5"/>
      <c r="BC447" s="6"/>
      <c r="BE447" s="6"/>
      <c r="BG447" s="6"/>
      <c r="BH447" s="5"/>
      <c r="BI447" s="5"/>
      <c r="BJ447" s="7"/>
    </row>
    <row r="448" s="1" customFormat="true" ht="14.25" hidden="false" customHeight="false" outlineLevel="0" collapsed="false">
      <c r="G448" s="2"/>
      <c r="M448" s="2"/>
      <c r="Z448" s="3"/>
      <c r="AL448" s="4"/>
      <c r="AM448" s="5"/>
      <c r="AN448" s="5"/>
      <c r="AO448" s="5"/>
      <c r="AP448" s="5"/>
      <c r="AQ448" s="5"/>
      <c r="AR448" s="5"/>
      <c r="AS448" s="6"/>
      <c r="AU448" s="6"/>
      <c r="AW448" s="6"/>
      <c r="AY448" s="5"/>
      <c r="AZ448" s="5"/>
      <c r="BA448" s="5"/>
      <c r="BC448" s="6"/>
      <c r="BE448" s="6"/>
      <c r="BG448" s="6"/>
      <c r="BH448" s="5"/>
      <c r="BI448" s="5"/>
      <c r="BJ448" s="7"/>
    </row>
    <row r="449" s="1" customFormat="true" ht="14.25" hidden="false" customHeight="false" outlineLevel="0" collapsed="false">
      <c r="G449" s="2"/>
      <c r="M449" s="2"/>
      <c r="Z449" s="3"/>
      <c r="AL449" s="4"/>
      <c r="AM449" s="5"/>
      <c r="AN449" s="5"/>
      <c r="AO449" s="5"/>
      <c r="AP449" s="5"/>
      <c r="AQ449" s="5"/>
      <c r="AR449" s="5"/>
      <c r="AS449" s="6"/>
      <c r="AU449" s="6"/>
      <c r="AW449" s="6"/>
      <c r="AY449" s="5"/>
      <c r="AZ449" s="5"/>
      <c r="BA449" s="5"/>
      <c r="BC449" s="6"/>
      <c r="BE449" s="6"/>
      <c r="BG449" s="6"/>
      <c r="BH449" s="5"/>
      <c r="BI449" s="5"/>
      <c r="BJ449" s="7"/>
    </row>
    <row r="450" s="1" customFormat="true" ht="14.25" hidden="false" customHeight="false" outlineLevel="0" collapsed="false">
      <c r="G450" s="2"/>
      <c r="M450" s="2"/>
      <c r="Z450" s="3"/>
      <c r="AL450" s="4"/>
      <c r="AM450" s="5"/>
      <c r="AN450" s="5"/>
      <c r="AO450" s="5"/>
      <c r="AP450" s="5"/>
      <c r="AQ450" s="5"/>
      <c r="AR450" s="5"/>
      <c r="AS450" s="6"/>
      <c r="AU450" s="6"/>
      <c r="AW450" s="6"/>
      <c r="AY450" s="5"/>
      <c r="AZ450" s="5"/>
      <c r="BA450" s="5"/>
      <c r="BC450" s="6"/>
      <c r="BE450" s="6"/>
      <c r="BG450" s="6"/>
      <c r="BH450" s="5"/>
      <c r="BI450" s="5"/>
      <c r="BJ450" s="7"/>
    </row>
    <row r="451" s="1" customFormat="true" ht="14.25" hidden="false" customHeight="false" outlineLevel="0" collapsed="false">
      <c r="G451" s="2"/>
      <c r="M451" s="2"/>
      <c r="Z451" s="3"/>
      <c r="AL451" s="4"/>
      <c r="AM451" s="5"/>
      <c r="AN451" s="5"/>
      <c r="AO451" s="5"/>
      <c r="AP451" s="5"/>
      <c r="AQ451" s="5"/>
      <c r="AR451" s="5"/>
      <c r="AS451" s="6"/>
      <c r="AU451" s="6"/>
      <c r="AW451" s="6"/>
      <c r="AY451" s="5"/>
      <c r="AZ451" s="5"/>
      <c r="BA451" s="5"/>
      <c r="BC451" s="6"/>
      <c r="BE451" s="6"/>
      <c r="BG451" s="6"/>
      <c r="BH451" s="5"/>
      <c r="BI451" s="5"/>
      <c r="BJ451" s="7"/>
    </row>
    <row r="452" s="1" customFormat="true" ht="14.25" hidden="false" customHeight="false" outlineLevel="0" collapsed="false">
      <c r="G452" s="2"/>
      <c r="M452" s="2"/>
      <c r="Z452" s="3"/>
      <c r="AL452" s="4"/>
      <c r="AM452" s="5"/>
      <c r="AN452" s="5"/>
      <c r="AO452" s="5"/>
      <c r="AP452" s="5"/>
      <c r="AQ452" s="5"/>
      <c r="AR452" s="5"/>
      <c r="AS452" s="6"/>
      <c r="AU452" s="6"/>
      <c r="AW452" s="6"/>
      <c r="AY452" s="5"/>
      <c r="AZ452" s="5"/>
      <c r="BA452" s="5"/>
      <c r="BC452" s="6"/>
      <c r="BE452" s="6"/>
      <c r="BG452" s="6"/>
      <c r="BH452" s="5"/>
      <c r="BI452" s="5"/>
      <c r="BJ452" s="7"/>
    </row>
    <row r="453" s="1" customFormat="true" ht="14.25" hidden="false" customHeight="false" outlineLevel="0" collapsed="false">
      <c r="G453" s="2"/>
      <c r="M453" s="2"/>
      <c r="Z453" s="3"/>
      <c r="AL453" s="4"/>
      <c r="AM453" s="5"/>
      <c r="AN453" s="5"/>
      <c r="AO453" s="5"/>
      <c r="AP453" s="5"/>
      <c r="AQ453" s="5"/>
      <c r="AR453" s="5"/>
      <c r="AS453" s="6"/>
      <c r="AU453" s="6"/>
      <c r="AW453" s="6"/>
      <c r="AY453" s="5"/>
      <c r="AZ453" s="5"/>
      <c r="BA453" s="5"/>
      <c r="BC453" s="6"/>
      <c r="BE453" s="6"/>
      <c r="BG453" s="6"/>
      <c r="BH453" s="5"/>
      <c r="BI453" s="5"/>
      <c r="BJ453" s="7"/>
    </row>
    <row r="454" s="1" customFormat="true" ht="14.25" hidden="false" customHeight="false" outlineLevel="0" collapsed="false">
      <c r="G454" s="2"/>
      <c r="M454" s="2"/>
      <c r="Z454" s="3"/>
      <c r="AL454" s="4"/>
      <c r="AM454" s="5"/>
      <c r="AN454" s="5"/>
      <c r="AO454" s="5"/>
      <c r="AP454" s="5"/>
      <c r="AQ454" s="5"/>
      <c r="AR454" s="5"/>
      <c r="AS454" s="6"/>
      <c r="AU454" s="6"/>
      <c r="AW454" s="6"/>
      <c r="AY454" s="5"/>
      <c r="AZ454" s="5"/>
      <c r="BA454" s="5"/>
      <c r="BC454" s="6"/>
      <c r="BE454" s="6"/>
      <c r="BG454" s="6"/>
      <c r="BH454" s="5"/>
      <c r="BI454" s="5"/>
      <c r="BJ454" s="7"/>
    </row>
    <row r="455" s="1" customFormat="true" ht="14.25" hidden="false" customHeight="false" outlineLevel="0" collapsed="false">
      <c r="G455" s="2"/>
      <c r="M455" s="2"/>
      <c r="Z455" s="3"/>
      <c r="AL455" s="4"/>
      <c r="AM455" s="5"/>
      <c r="AN455" s="5"/>
      <c r="AO455" s="5"/>
      <c r="AP455" s="5"/>
      <c r="AQ455" s="5"/>
      <c r="AR455" s="5"/>
      <c r="AS455" s="6"/>
      <c r="AU455" s="6"/>
      <c r="AW455" s="6"/>
      <c r="AY455" s="5"/>
      <c r="AZ455" s="5"/>
      <c r="BA455" s="5"/>
      <c r="BC455" s="6"/>
      <c r="BE455" s="6"/>
      <c r="BG455" s="6"/>
      <c r="BH455" s="5"/>
      <c r="BI455" s="5"/>
      <c r="BJ455" s="7"/>
    </row>
    <row r="456" s="1" customFormat="true" ht="14.25" hidden="false" customHeight="false" outlineLevel="0" collapsed="false">
      <c r="G456" s="2"/>
      <c r="M456" s="2"/>
      <c r="Z456" s="3"/>
      <c r="AL456" s="4"/>
      <c r="AM456" s="5"/>
      <c r="AN456" s="5"/>
      <c r="AO456" s="5"/>
      <c r="AP456" s="5"/>
      <c r="AQ456" s="5"/>
      <c r="AR456" s="5"/>
      <c r="AS456" s="6"/>
      <c r="AU456" s="6"/>
      <c r="AW456" s="6"/>
      <c r="AY456" s="5"/>
      <c r="AZ456" s="5"/>
      <c r="BA456" s="5"/>
      <c r="BC456" s="6"/>
      <c r="BE456" s="6"/>
      <c r="BG456" s="6"/>
      <c r="BH456" s="5"/>
      <c r="BI456" s="5"/>
      <c r="BJ456" s="7"/>
    </row>
    <row r="457" s="1" customFormat="true" ht="14.25" hidden="false" customHeight="false" outlineLevel="0" collapsed="false">
      <c r="G457" s="2"/>
      <c r="M457" s="2"/>
      <c r="Z457" s="3"/>
      <c r="AL457" s="4"/>
      <c r="AM457" s="5"/>
      <c r="AN457" s="5"/>
      <c r="AO457" s="5"/>
      <c r="AP457" s="5"/>
      <c r="AQ457" s="5"/>
      <c r="AR457" s="5"/>
      <c r="AS457" s="6"/>
      <c r="AU457" s="6"/>
      <c r="AW457" s="6"/>
      <c r="AY457" s="5"/>
      <c r="AZ457" s="5"/>
      <c r="BA457" s="5"/>
      <c r="BC457" s="6"/>
      <c r="BE457" s="6"/>
      <c r="BG457" s="6"/>
      <c r="BH457" s="5"/>
      <c r="BI457" s="5"/>
      <c r="BJ457" s="7"/>
    </row>
    <row r="458" s="1" customFormat="true" ht="14.25" hidden="false" customHeight="false" outlineLevel="0" collapsed="false">
      <c r="G458" s="2"/>
      <c r="M458" s="2"/>
      <c r="Z458" s="3"/>
      <c r="AL458" s="4"/>
      <c r="AM458" s="5"/>
      <c r="AN458" s="5"/>
      <c r="AO458" s="5"/>
      <c r="AP458" s="5"/>
      <c r="AQ458" s="5"/>
      <c r="AR458" s="5"/>
      <c r="AS458" s="6"/>
      <c r="AU458" s="6"/>
      <c r="AW458" s="6"/>
      <c r="AY458" s="5"/>
      <c r="AZ458" s="5"/>
      <c r="BA458" s="5"/>
      <c r="BC458" s="6"/>
      <c r="BE458" s="6"/>
      <c r="BG458" s="6"/>
      <c r="BH458" s="5"/>
      <c r="BI458" s="5"/>
      <c r="BJ458" s="7"/>
    </row>
    <row r="459" s="1" customFormat="true" ht="14.25" hidden="false" customHeight="false" outlineLevel="0" collapsed="false">
      <c r="G459" s="2"/>
      <c r="M459" s="2"/>
      <c r="Z459" s="3"/>
      <c r="AL459" s="4"/>
      <c r="AM459" s="5"/>
      <c r="AN459" s="5"/>
      <c r="AO459" s="5"/>
      <c r="AP459" s="5"/>
      <c r="AQ459" s="5"/>
      <c r="AR459" s="5"/>
      <c r="AS459" s="6"/>
      <c r="AU459" s="6"/>
      <c r="AW459" s="6"/>
      <c r="AY459" s="5"/>
      <c r="AZ459" s="5"/>
      <c r="BA459" s="5"/>
      <c r="BC459" s="6"/>
      <c r="BE459" s="6"/>
      <c r="BG459" s="6"/>
      <c r="BH459" s="5"/>
      <c r="BI459" s="5"/>
      <c r="BJ459" s="7"/>
    </row>
    <row r="460" s="1" customFormat="true" ht="14.25" hidden="false" customHeight="false" outlineLevel="0" collapsed="false">
      <c r="G460" s="2"/>
      <c r="M460" s="2"/>
      <c r="Z460" s="3"/>
      <c r="AL460" s="4"/>
      <c r="AM460" s="5"/>
      <c r="AN460" s="5"/>
      <c r="AO460" s="5"/>
      <c r="AP460" s="5"/>
      <c r="AQ460" s="5"/>
      <c r="AR460" s="5"/>
      <c r="AS460" s="6"/>
      <c r="AU460" s="6"/>
      <c r="AW460" s="6"/>
      <c r="AY460" s="5"/>
      <c r="AZ460" s="5"/>
      <c r="BA460" s="5"/>
      <c r="BC460" s="6"/>
      <c r="BE460" s="6"/>
      <c r="BG460" s="6"/>
      <c r="BH460" s="5"/>
      <c r="BI460" s="5"/>
      <c r="BJ460" s="7"/>
    </row>
    <row r="461" s="1" customFormat="true" ht="14.25" hidden="false" customHeight="false" outlineLevel="0" collapsed="false">
      <c r="G461" s="2"/>
      <c r="M461" s="2"/>
      <c r="Z461" s="3"/>
      <c r="AL461" s="4"/>
      <c r="AM461" s="5"/>
      <c r="AN461" s="5"/>
      <c r="AO461" s="5"/>
      <c r="AP461" s="5"/>
      <c r="AQ461" s="5"/>
      <c r="AR461" s="5"/>
      <c r="AS461" s="6"/>
      <c r="AU461" s="6"/>
      <c r="AW461" s="6"/>
      <c r="AY461" s="5"/>
      <c r="AZ461" s="5"/>
      <c r="BA461" s="5"/>
      <c r="BC461" s="6"/>
      <c r="BE461" s="6"/>
      <c r="BG461" s="6"/>
      <c r="BH461" s="5"/>
      <c r="BI461" s="5"/>
      <c r="BJ461" s="7"/>
    </row>
    <row r="462" s="1" customFormat="true" ht="14.25" hidden="false" customHeight="false" outlineLevel="0" collapsed="false">
      <c r="G462" s="2"/>
      <c r="M462" s="2"/>
      <c r="Z462" s="3"/>
      <c r="AL462" s="4"/>
      <c r="AM462" s="5"/>
      <c r="AN462" s="5"/>
      <c r="AO462" s="5"/>
      <c r="AP462" s="5"/>
      <c r="AQ462" s="5"/>
      <c r="AR462" s="5"/>
      <c r="AS462" s="6"/>
      <c r="AU462" s="6"/>
      <c r="AW462" s="6"/>
      <c r="AY462" s="5"/>
      <c r="AZ462" s="5"/>
      <c r="BA462" s="5"/>
      <c r="BC462" s="6"/>
      <c r="BE462" s="6"/>
      <c r="BG462" s="6"/>
      <c r="BH462" s="5"/>
      <c r="BI462" s="5"/>
      <c r="BJ462" s="7"/>
    </row>
    <row r="463" s="1" customFormat="true" ht="14.25" hidden="false" customHeight="false" outlineLevel="0" collapsed="false">
      <c r="G463" s="2"/>
      <c r="M463" s="2"/>
      <c r="Z463" s="3"/>
      <c r="AL463" s="4"/>
      <c r="AM463" s="5"/>
      <c r="AN463" s="5"/>
      <c r="AO463" s="5"/>
      <c r="AP463" s="5"/>
      <c r="AQ463" s="5"/>
      <c r="AR463" s="5"/>
      <c r="AS463" s="6"/>
      <c r="AU463" s="6"/>
      <c r="AW463" s="6"/>
      <c r="AY463" s="5"/>
      <c r="AZ463" s="5"/>
      <c r="BA463" s="5"/>
      <c r="BC463" s="6"/>
      <c r="BE463" s="6"/>
      <c r="BG463" s="6"/>
      <c r="BH463" s="5"/>
      <c r="BI463" s="5"/>
      <c r="BJ463" s="7"/>
    </row>
    <row r="464" s="1" customFormat="true" ht="14.25" hidden="false" customHeight="false" outlineLevel="0" collapsed="false">
      <c r="G464" s="2"/>
      <c r="M464" s="2"/>
      <c r="Z464" s="3"/>
      <c r="AL464" s="4"/>
      <c r="AM464" s="5"/>
      <c r="AN464" s="5"/>
      <c r="AO464" s="5"/>
      <c r="AP464" s="5"/>
      <c r="AQ464" s="5"/>
      <c r="AR464" s="5"/>
      <c r="AS464" s="6"/>
      <c r="AU464" s="6"/>
      <c r="AW464" s="6"/>
      <c r="AY464" s="5"/>
      <c r="AZ464" s="5"/>
      <c r="BA464" s="5"/>
      <c r="BC464" s="6"/>
      <c r="BE464" s="6"/>
      <c r="BG464" s="6"/>
      <c r="BH464" s="5"/>
      <c r="BI464" s="5"/>
      <c r="BJ464" s="7"/>
    </row>
    <row r="465" s="1" customFormat="true" ht="14.25" hidden="false" customHeight="false" outlineLevel="0" collapsed="false">
      <c r="G465" s="2"/>
      <c r="M465" s="2"/>
      <c r="Z465" s="3"/>
      <c r="AL465" s="4"/>
      <c r="AM465" s="5"/>
      <c r="AN465" s="5"/>
      <c r="AO465" s="5"/>
      <c r="AP465" s="5"/>
      <c r="AQ465" s="5"/>
      <c r="AR465" s="5"/>
      <c r="AS465" s="6"/>
      <c r="AU465" s="6"/>
      <c r="AW465" s="6"/>
      <c r="AY465" s="5"/>
      <c r="AZ465" s="5"/>
      <c r="BA465" s="5"/>
      <c r="BC465" s="6"/>
      <c r="BE465" s="6"/>
      <c r="BG465" s="6"/>
      <c r="BH465" s="5"/>
      <c r="BI465" s="5"/>
      <c r="BJ465" s="7"/>
    </row>
    <row r="466" s="1" customFormat="true" ht="14.25" hidden="false" customHeight="false" outlineLevel="0" collapsed="false">
      <c r="G466" s="2"/>
      <c r="M466" s="2"/>
      <c r="Z466" s="3"/>
      <c r="AL466" s="4"/>
      <c r="AM466" s="5"/>
      <c r="AN466" s="5"/>
      <c r="AO466" s="5"/>
      <c r="AP466" s="5"/>
      <c r="AQ466" s="5"/>
      <c r="AR466" s="5"/>
      <c r="AS466" s="6"/>
      <c r="AU466" s="6"/>
      <c r="AW466" s="6"/>
      <c r="AY466" s="5"/>
      <c r="AZ466" s="5"/>
      <c r="BA466" s="5"/>
      <c r="BC466" s="6"/>
      <c r="BE466" s="6"/>
      <c r="BG466" s="6"/>
      <c r="BH466" s="5"/>
      <c r="BI466" s="5"/>
      <c r="BJ466" s="7"/>
    </row>
    <row r="467" s="1" customFormat="true" ht="14.25" hidden="false" customHeight="false" outlineLevel="0" collapsed="false">
      <c r="G467" s="2"/>
      <c r="M467" s="2"/>
      <c r="Z467" s="3"/>
      <c r="AL467" s="4"/>
      <c r="AM467" s="5"/>
      <c r="AN467" s="5"/>
      <c r="AO467" s="5"/>
      <c r="AP467" s="5"/>
      <c r="AQ467" s="5"/>
      <c r="AR467" s="5"/>
      <c r="AS467" s="6"/>
      <c r="AU467" s="6"/>
      <c r="AW467" s="6"/>
      <c r="AY467" s="5"/>
      <c r="AZ467" s="5"/>
      <c r="BA467" s="5"/>
      <c r="BC467" s="6"/>
      <c r="BE467" s="6"/>
      <c r="BG467" s="6"/>
      <c r="BH467" s="5"/>
      <c r="BI467" s="5"/>
      <c r="BJ467" s="7"/>
    </row>
    <row r="468" s="1" customFormat="true" ht="14.25" hidden="false" customHeight="false" outlineLevel="0" collapsed="false">
      <c r="G468" s="2"/>
      <c r="M468" s="2"/>
      <c r="Z468" s="3"/>
      <c r="AL468" s="4"/>
      <c r="AM468" s="5"/>
      <c r="AN468" s="5"/>
      <c r="AO468" s="5"/>
      <c r="AP468" s="5"/>
      <c r="AQ468" s="5"/>
      <c r="AR468" s="5"/>
      <c r="AS468" s="6"/>
      <c r="AU468" s="6"/>
      <c r="AW468" s="6"/>
      <c r="AY468" s="5"/>
      <c r="AZ468" s="5"/>
      <c r="BA468" s="5"/>
      <c r="BC468" s="6"/>
      <c r="BE468" s="6"/>
      <c r="BG468" s="6"/>
      <c r="BH468" s="5"/>
      <c r="BI468" s="5"/>
      <c r="BJ468" s="7"/>
    </row>
    <row r="469" s="1" customFormat="true" ht="14.25" hidden="false" customHeight="false" outlineLevel="0" collapsed="false">
      <c r="G469" s="2"/>
      <c r="M469" s="2"/>
      <c r="Z469" s="3"/>
      <c r="AL469" s="4"/>
      <c r="AM469" s="5"/>
      <c r="AN469" s="5"/>
      <c r="AO469" s="5"/>
      <c r="AP469" s="5"/>
      <c r="AQ469" s="5"/>
      <c r="AR469" s="5"/>
      <c r="AS469" s="6"/>
      <c r="AU469" s="6"/>
      <c r="AW469" s="6"/>
      <c r="AY469" s="5"/>
      <c r="AZ469" s="5"/>
      <c r="BA469" s="5"/>
      <c r="BC469" s="6"/>
      <c r="BE469" s="6"/>
      <c r="BG469" s="6"/>
      <c r="BH469" s="5"/>
      <c r="BI469" s="5"/>
      <c r="BJ469" s="7"/>
    </row>
    <row r="470" s="1" customFormat="true" ht="14.25" hidden="false" customHeight="false" outlineLevel="0" collapsed="false">
      <c r="G470" s="2"/>
      <c r="M470" s="2"/>
      <c r="Z470" s="3"/>
      <c r="AL470" s="4"/>
      <c r="AM470" s="5"/>
      <c r="AN470" s="5"/>
      <c r="AO470" s="5"/>
      <c r="AP470" s="5"/>
      <c r="AQ470" s="5"/>
      <c r="AR470" s="5"/>
      <c r="AS470" s="6"/>
      <c r="AU470" s="6"/>
      <c r="AW470" s="6"/>
      <c r="AY470" s="5"/>
      <c r="AZ470" s="5"/>
      <c r="BA470" s="5"/>
      <c r="BC470" s="6"/>
      <c r="BE470" s="6"/>
      <c r="BG470" s="6"/>
      <c r="BH470" s="5"/>
      <c r="BI470" s="5"/>
      <c r="BJ470" s="7"/>
    </row>
    <row r="471" s="1" customFormat="true" ht="14.25" hidden="false" customHeight="false" outlineLevel="0" collapsed="false">
      <c r="G471" s="2"/>
      <c r="M471" s="2"/>
      <c r="Z471" s="3"/>
      <c r="AL471" s="4"/>
      <c r="AM471" s="5"/>
      <c r="AN471" s="5"/>
      <c r="AO471" s="5"/>
      <c r="AP471" s="5"/>
      <c r="AQ471" s="5"/>
      <c r="AR471" s="5"/>
      <c r="AS471" s="6"/>
      <c r="AU471" s="6"/>
      <c r="AW471" s="6"/>
      <c r="AY471" s="5"/>
      <c r="AZ471" s="5"/>
      <c r="BA471" s="5"/>
      <c r="BC471" s="6"/>
      <c r="BE471" s="6"/>
      <c r="BG471" s="6"/>
      <c r="BH471" s="5"/>
      <c r="BI471" s="5"/>
      <c r="BJ471" s="7"/>
    </row>
    <row r="472" s="1" customFormat="true" ht="14.25" hidden="false" customHeight="false" outlineLevel="0" collapsed="false">
      <c r="G472" s="2"/>
      <c r="M472" s="2"/>
      <c r="Z472" s="3"/>
      <c r="AL472" s="4"/>
      <c r="AM472" s="5"/>
      <c r="AN472" s="5"/>
      <c r="AO472" s="5"/>
      <c r="AP472" s="5"/>
      <c r="AQ472" s="5"/>
      <c r="AR472" s="5"/>
      <c r="AS472" s="6"/>
      <c r="AU472" s="6"/>
      <c r="AW472" s="6"/>
      <c r="AY472" s="5"/>
      <c r="AZ472" s="5"/>
      <c r="BA472" s="5"/>
      <c r="BC472" s="6"/>
      <c r="BE472" s="6"/>
      <c r="BG472" s="6"/>
      <c r="BH472" s="5"/>
      <c r="BI472" s="5"/>
      <c r="BJ472" s="7"/>
    </row>
    <row r="473" s="1" customFormat="true" ht="14.25" hidden="false" customHeight="false" outlineLevel="0" collapsed="false">
      <c r="G473" s="2"/>
      <c r="M473" s="2"/>
      <c r="Z473" s="3"/>
      <c r="AL473" s="4"/>
      <c r="AM473" s="5"/>
      <c r="AN473" s="5"/>
      <c r="AO473" s="5"/>
      <c r="AP473" s="5"/>
      <c r="AQ473" s="5"/>
      <c r="AR473" s="5"/>
      <c r="AS473" s="6"/>
      <c r="AU473" s="6"/>
      <c r="AW473" s="6"/>
      <c r="AY473" s="5"/>
      <c r="AZ473" s="5"/>
      <c r="BA473" s="5"/>
      <c r="BC473" s="6"/>
      <c r="BE473" s="6"/>
      <c r="BG473" s="6"/>
      <c r="BH473" s="5"/>
      <c r="BI473" s="5"/>
      <c r="BJ473" s="7"/>
    </row>
    <row r="474" s="1" customFormat="true" ht="14.25" hidden="false" customHeight="false" outlineLevel="0" collapsed="false">
      <c r="G474" s="2"/>
      <c r="M474" s="2"/>
      <c r="Z474" s="3"/>
      <c r="AL474" s="4"/>
      <c r="AM474" s="5"/>
      <c r="AN474" s="5"/>
      <c r="AO474" s="5"/>
      <c r="AP474" s="5"/>
      <c r="AQ474" s="5"/>
      <c r="AR474" s="5"/>
      <c r="AS474" s="6"/>
      <c r="AU474" s="6"/>
      <c r="AW474" s="6"/>
      <c r="AY474" s="5"/>
      <c r="AZ474" s="5"/>
      <c r="BA474" s="5"/>
      <c r="BC474" s="6"/>
      <c r="BE474" s="6"/>
      <c r="BG474" s="6"/>
      <c r="BH474" s="5"/>
      <c r="BI474" s="5"/>
      <c r="BJ474" s="7"/>
    </row>
    <row r="475" s="1" customFormat="true" ht="14.25" hidden="false" customHeight="false" outlineLevel="0" collapsed="false">
      <c r="G475" s="2"/>
      <c r="M475" s="2"/>
      <c r="Z475" s="3"/>
      <c r="AL475" s="4"/>
      <c r="AM475" s="5"/>
      <c r="AN475" s="5"/>
      <c r="AO475" s="5"/>
      <c r="AP475" s="5"/>
      <c r="AQ475" s="5"/>
      <c r="AR475" s="5"/>
      <c r="AS475" s="6"/>
      <c r="AU475" s="6"/>
      <c r="AW475" s="6"/>
      <c r="AY475" s="5"/>
      <c r="AZ475" s="5"/>
      <c r="BA475" s="5"/>
      <c r="BC475" s="6"/>
      <c r="BE475" s="6"/>
      <c r="BG475" s="6"/>
      <c r="BH475" s="5"/>
      <c r="BI475" s="5"/>
      <c r="BJ475" s="7"/>
    </row>
    <row r="476" s="1" customFormat="true" ht="14.25" hidden="false" customHeight="false" outlineLevel="0" collapsed="false">
      <c r="G476" s="2"/>
      <c r="M476" s="2"/>
      <c r="Z476" s="3"/>
      <c r="AL476" s="4"/>
      <c r="AM476" s="5"/>
      <c r="AN476" s="5"/>
      <c r="AO476" s="5"/>
      <c r="AP476" s="5"/>
      <c r="AQ476" s="5"/>
      <c r="AR476" s="5"/>
      <c r="AS476" s="6"/>
      <c r="AU476" s="6"/>
      <c r="AW476" s="6"/>
      <c r="AY476" s="5"/>
      <c r="AZ476" s="5"/>
      <c r="BA476" s="5"/>
      <c r="BC476" s="6"/>
      <c r="BE476" s="6"/>
      <c r="BG476" s="6"/>
      <c r="BH476" s="5"/>
      <c r="BI476" s="5"/>
      <c r="BJ476" s="7"/>
    </row>
    <row r="477" s="1" customFormat="true" ht="14.25" hidden="false" customHeight="false" outlineLevel="0" collapsed="false">
      <c r="G477" s="2"/>
      <c r="M477" s="2"/>
      <c r="Z477" s="3"/>
      <c r="AL477" s="4"/>
      <c r="AM477" s="5"/>
      <c r="AN477" s="5"/>
      <c r="AO477" s="5"/>
      <c r="AP477" s="5"/>
      <c r="AQ477" s="5"/>
      <c r="AR477" s="5"/>
      <c r="AS477" s="6"/>
      <c r="AU477" s="6"/>
      <c r="AW477" s="6"/>
      <c r="AY477" s="5"/>
      <c r="AZ477" s="5"/>
      <c r="BA477" s="5"/>
      <c r="BC477" s="6"/>
      <c r="BE477" s="6"/>
      <c r="BG477" s="6"/>
      <c r="BH477" s="5"/>
      <c r="BI477" s="5"/>
      <c r="BJ477" s="7"/>
    </row>
    <row r="478" s="1" customFormat="true" ht="14.25" hidden="false" customHeight="false" outlineLevel="0" collapsed="false">
      <c r="G478" s="2"/>
      <c r="M478" s="2"/>
      <c r="Z478" s="3"/>
      <c r="AL478" s="4"/>
      <c r="AM478" s="5"/>
      <c r="AN478" s="5"/>
      <c r="AO478" s="5"/>
      <c r="AP478" s="5"/>
      <c r="AQ478" s="5"/>
      <c r="AR478" s="5"/>
      <c r="AS478" s="6"/>
      <c r="AU478" s="6"/>
      <c r="AW478" s="6"/>
      <c r="AY478" s="5"/>
      <c r="AZ478" s="5"/>
      <c r="BA478" s="5"/>
      <c r="BC478" s="6"/>
      <c r="BE478" s="6"/>
      <c r="BG478" s="6"/>
      <c r="BH478" s="5"/>
      <c r="BI478" s="5"/>
      <c r="BJ478" s="7"/>
    </row>
    <row r="479" s="1" customFormat="true" ht="14.25" hidden="false" customHeight="false" outlineLevel="0" collapsed="false">
      <c r="G479" s="2"/>
      <c r="M479" s="2"/>
      <c r="Z479" s="3"/>
      <c r="AL479" s="4"/>
      <c r="AM479" s="5"/>
      <c r="AN479" s="5"/>
      <c r="AO479" s="5"/>
      <c r="AP479" s="5"/>
      <c r="AQ479" s="5"/>
      <c r="AR479" s="5"/>
      <c r="AS479" s="6"/>
      <c r="AU479" s="6"/>
      <c r="AW479" s="6"/>
      <c r="AY479" s="5"/>
      <c r="AZ479" s="5"/>
      <c r="BA479" s="5"/>
      <c r="BC479" s="6"/>
      <c r="BE479" s="6"/>
      <c r="BG479" s="6"/>
      <c r="BH479" s="5"/>
      <c r="BI479" s="5"/>
      <c r="BJ479" s="7"/>
    </row>
    <row r="480" s="1" customFormat="true" ht="14.25" hidden="false" customHeight="false" outlineLevel="0" collapsed="false">
      <c r="G480" s="2"/>
      <c r="M480" s="2"/>
      <c r="Z480" s="3"/>
      <c r="AL480" s="4"/>
      <c r="AM480" s="5"/>
      <c r="AN480" s="5"/>
      <c r="AO480" s="5"/>
      <c r="AP480" s="5"/>
      <c r="AQ480" s="5"/>
      <c r="AR480" s="5"/>
      <c r="AS480" s="6"/>
      <c r="AU480" s="6"/>
      <c r="AW480" s="6"/>
      <c r="AY480" s="5"/>
      <c r="AZ480" s="5"/>
      <c r="BA480" s="5"/>
      <c r="BC480" s="6"/>
      <c r="BE480" s="6"/>
      <c r="BG480" s="6"/>
      <c r="BH480" s="5"/>
      <c r="BI480" s="5"/>
      <c r="BJ480" s="7"/>
    </row>
    <row r="481" s="1" customFormat="true" ht="14.25" hidden="false" customHeight="false" outlineLevel="0" collapsed="false">
      <c r="G481" s="2"/>
      <c r="M481" s="2"/>
      <c r="Z481" s="3"/>
      <c r="AL481" s="4"/>
      <c r="AM481" s="5"/>
      <c r="AN481" s="5"/>
      <c r="AO481" s="5"/>
      <c r="AP481" s="5"/>
      <c r="AQ481" s="5"/>
      <c r="AR481" s="5"/>
      <c r="AS481" s="6"/>
      <c r="AU481" s="6"/>
      <c r="AW481" s="6"/>
      <c r="AY481" s="5"/>
      <c r="AZ481" s="5"/>
      <c r="BA481" s="5"/>
      <c r="BC481" s="6"/>
      <c r="BE481" s="6"/>
      <c r="BG481" s="6"/>
      <c r="BH481" s="5"/>
      <c r="BI481" s="5"/>
      <c r="BJ481" s="7"/>
    </row>
    <row r="482" s="1" customFormat="true" ht="14.25" hidden="false" customHeight="false" outlineLevel="0" collapsed="false">
      <c r="G482" s="2"/>
      <c r="M482" s="2"/>
      <c r="Z482" s="3"/>
      <c r="AL482" s="4"/>
      <c r="AM482" s="5"/>
      <c r="AN482" s="5"/>
      <c r="AO482" s="5"/>
      <c r="AP482" s="5"/>
      <c r="AQ482" s="5"/>
      <c r="AR482" s="5"/>
      <c r="AS482" s="6"/>
      <c r="AU482" s="6"/>
      <c r="AW482" s="6"/>
      <c r="AY482" s="5"/>
      <c r="AZ482" s="5"/>
      <c r="BA482" s="5"/>
      <c r="BC482" s="6"/>
      <c r="BE482" s="6"/>
      <c r="BG482" s="6"/>
      <c r="BH482" s="5"/>
      <c r="BI482" s="5"/>
      <c r="BJ482" s="7"/>
    </row>
    <row r="483" s="1" customFormat="true" ht="14.25" hidden="false" customHeight="false" outlineLevel="0" collapsed="false">
      <c r="G483" s="2"/>
      <c r="M483" s="2"/>
      <c r="Z483" s="3"/>
      <c r="AL483" s="4"/>
      <c r="AM483" s="5"/>
      <c r="AN483" s="5"/>
      <c r="AO483" s="5"/>
      <c r="AP483" s="5"/>
      <c r="AQ483" s="5"/>
      <c r="AR483" s="5"/>
      <c r="AS483" s="6"/>
      <c r="AU483" s="6"/>
      <c r="AW483" s="6"/>
      <c r="AY483" s="5"/>
      <c r="AZ483" s="5"/>
      <c r="BA483" s="5"/>
      <c r="BC483" s="6"/>
      <c r="BE483" s="6"/>
      <c r="BG483" s="6"/>
      <c r="BH483" s="5"/>
      <c r="BI483" s="5"/>
      <c r="BJ483" s="7"/>
    </row>
    <row r="484" s="1" customFormat="true" ht="14.25" hidden="false" customHeight="false" outlineLevel="0" collapsed="false">
      <c r="G484" s="2"/>
      <c r="M484" s="2"/>
      <c r="Z484" s="3"/>
      <c r="AL484" s="4"/>
      <c r="AM484" s="5"/>
      <c r="AN484" s="5"/>
      <c r="AO484" s="5"/>
      <c r="AP484" s="5"/>
      <c r="AQ484" s="5"/>
      <c r="AR484" s="5"/>
      <c r="AS484" s="6"/>
      <c r="AU484" s="6"/>
      <c r="AW484" s="6"/>
      <c r="AY484" s="5"/>
      <c r="AZ484" s="5"/>
      <c r="BA484" s="5"/>
      <c r="BC484" s="6"/>
      <c r="BE484" s="6"/>
      <c r="BG484" s="6"/>
      <c r="BH484" s="5"/>
      <c r="BI484" s="5"/>
      <c r="BJ484" s="7"/>
    </row>
    <row r="485" s="1" customFormat="true" ht="14.25" hidden="false" customHeight="false" outlineLevel="0" collapsed="false">
      <c r="G485" s="2"/>
      <c r="M485" s="2"/>
      <c r="Z485" s="3"/>
      <c r="AL485" s="4"/>
      <c r="AM485" s="5"/>
      <c r="AN485" s="5"/>
      <c r="AO485" s="5"/>
      <c r="AP485" s="5"/>
      <c r="AQ485" s="5"/>
      <c r="AR485" s="5"/>
      <c r="AS485" s="6"/>
      <c r="AU485" s="6"/>
      <c r="AW485" s="6"/>
      <c r="AY485" s="5"/>
      <c r="AZ485" s="5"/>
      <c r="BA485" s="5"/>
      <c r="BC485" s="6"/>
      <c r="BE485" s="6"/>
      <c r="BG485" s="6"/>
      <c r="BH485" s="5"/>
      <c r="BI485" s="5"/>
      <c r="BJ485" s="7"/>
    </row>
    <row r="486" s="1" customFormat="true" ht="14.25" hidden="false" customHeight="false" outlineLevel="0" collapsed="false">
      <c r="G486" s="2"/>
      <c r="M486" s="2"/>
      <c r="Z486" s="3"/>
      <c r="AL486" s="4"/>
      <c r="AM486" s="5"/>
      <c r="AN486" s="5"/>
      <c r="AO486" s="5"/>
      <c r="AP486" s="5"/>
      <c r="AQ486" s="5"/>
      <c r="AR486" s="5"/>
      <c r="AS486" s="6"/>
      <c r="AU486" s="6"/>
      <c r="AW486" s="6"/>
      <c r="AY486" s="5"/>
      <c r="AZ486" s="5"/>
      <c r="BA486" s="5"/>
      <c r="BC486" s="6"/>
      <c r="BE486" s="6"/>
      <c r="BG486" s="6"/>
      <c r="BH486" s="5"/>
      <c r="BI486" s="5"/>
      <c r="BJ486" s="7"/>
    </row>
    <row r="487" s="1" customFormat="true" ht="14.25" hidden="false" customHeight="false" outlineLevel="0" collapsed="false">
      <c r="G487" s="2"/>
      <c r="M487" s="2"/>
      <c r="Z487" s="3"/>
      <c r="AL487" s="4"/>
      <c r="AM487" s="5"/>
      <c r="AN487" s="5"/>
      <c r="AO487" s="5"/>
      <c r="AP487" s="5"/>
      <c r="AQ487" s="5"/>
      <c r="AR487" s="5"/>
      <c r="AS487" s="6"/>
      <c r="AU487" s="6"/>
      <c r="AW487" s="6"/>
      <c r="AY487" s="5"/>
      <c r="AZ487" s="5"/>
      <c r="BA487" s="5"/>
      <c r="BC487" s="6"/>
      <c r="BE487" s="6"/>
      <c r="BG487" s="6"/>
      <c r="BH487" s="5"/>
      <c r="BI487" s="5"/>
      <c r="BJ487" s="7"/>
    </row>
    <row r="488" s="1" customFormat="true" ht="14.25" hidden="false" customHeight="false" outlineLevel="0" collapsed="false">
      <c r="G488" s="2"/>
      <c r="M488" s="2"/>
      <c r="Z488" s="3"/>
      <c r="AL488" s="4"/>
      <c r="AM488" s="5"/>
      <c r="AN488" s="5"/>
      <c r="AO488" s="5"/>
      <c r="AP488" s="5"/>
      <c r="AQ488" s="5"/>
      <c r="AR488" s="5"/>
      <c r="AS488" s="6"/>
      <c r="AU488" s="6"/>
      <c r="AW488" s="6"/>
      <c r="AY488" s="5"/>
      <c r="AZ488" s="5"/>
      <c r="BA488" s="5"/>
      <c r="BC488" s="6"/>
      <c r="BE488" s="6"/>
      <c r="BG488" s="6"/>
      <c r="BH488" s="5"/>
      <c r="BI488" s="5"/>
      <c r="BJ488" s="7"/>
    </row>
    <row r="489" s="1" customFormat="true" ht="14.25" hidden="false" customHeight="false" outlineLevel="0" collapsed="false">
      <c r="G489" s="2"/>
      <c r="M489" s="2"/>
      <c r="Z489" s="3"/>
      <c r="AL489" s="4"/>
      <c r="AM489" s="5"/>
      <c r="AN489" s="5"/>
      <c r="AO489" s="5"/>
      <c r="AP489" s="5"/>
      <c r="AQ489" s="5"/>
      <c r="AR489" s="5"/>
      <c r="AS489" s="6"/>
      <c r="AU489" s="6"/>
      <c r="AW489" s="6"/>
      <c r="AY489" s="5"/>
      <c r="AZ489" s="5"/>
      <c r="BA489" s="5"/>
      <c r="BC489" s="6"/>
      <c r="BE489" s="6"/>
      <c r="BG489" s="6"/>
      <c r="BH489" s="5"/>
      <c r="BI489" s="5"/>
      <c r="BJ489" s="7"/>
    </row>
    <row r="490" s="1" customFormat="true" ht="14.25" hidden="false" customHeight="false" outlineLevel="0" collapsed="false">
      <c r="G490" s="2"/>
      <c r="M490" s="2"/>
      <c r="Z490" s="3"/>
      <c r="AL490" s="4"/>
      <c r="AM490" s="5"/>
      <c r="AN490" s="5"/>
      <c r="AO490" s="5"/>
      <c r="AP490" s="5"/>
      <c r="AQ490" s="5"/>
      <c r="AR490" s="5"/>
      <c r="AS490" s="6"/>
      <c r="AU490" s="6"/>
      <c r="AW490" s="6"/>
      <c r="AY490" s="5"/>
      <c r="AZ490" s="5"/>
      <c r="BA490" s="5"/>
      <c r="BC490" s="6"/>
      <c r="BE490" s="6"/>
      <c r="BG490" s="6"/>
      <c r="BH490" s="5"/>
      <c r="BI490" s="5"/>
      <c r="BJ490" s="7"/>
    </row>
    <row r="491" s="1" customFormat="true" ht="14.25" hidden="false" customHeight="false" outlineLevel="0" collapsed="false">
      <c r="G491" s="2"/>
      <c r="M491" s="2"/>
      <c r="Z491" s="3"/>
      <c r="AL491" s="4"/>
      <c r="AM491" s="5"/>
      <c r="AN491" s="5"/>
      <c r="AO491" s="5"/>
      <c r="AP491" s="5"/>
      <c r="AQ491" s="5"/>
      <c r="AR491" s="5"/>
      <c r="AS491" s="6"/>
      <c r="AU491" s="6"/>
      <c r="AW491" s="6"/>
      <c r="AY491" s="5"/>
      <c r="AZ491" s="5"/>
      <c r="BA491" s="5"/>
      <c r="BC491" s="6"/>
      <c r="BE491" s="6"/>
      <c r="BG491" s="6"/>
      <c r="BH491" s="5"/>
      <c r="BI491" s="5"/>
      <c r="BJ491" s="7"/>
    </row>
    <row r="492" s="1" customFormat="true" ht="14.25" hidden="false" customHeight="false" outlineLevel="0" collapsed="false">
      <c r="G492" s="2"/>
      <c r="M492" s="2"/>
      <c r="Z492" s="3"/>
      <c r="AL492" s="4"/>
      <c r="AM492" s="5"/>
      <c r="AN492" s="5"/>
      <c r="AO492" s="5"/>
      <c r="AP492" s="5"/>
      <c r="AQ492" s="5"/>
      <c r="AR492" s="5"/>
      <c r="AS492" s="6"/>
      <c r="AU492" s="6"/>
      <c r="AW492" s="6"/>
      <c r="AY492" s="5"/>
      <c r="AZ492" s="5"/>
      <c r="BA492" s="5"/>
      <c r="BC492" s="6"/>
      <c r="BE492" s="6"/>
      <c r="BG492" s="6"/>
      <c r="BH492" s="5"/>
      <c r="BI492" s="5"/>
      <c r="BJ492" s="7"/>
    </row>
    <row r="493" s="1" customFormat="true" ht="14.25" hidden="false" customHeight="false" outlineLevel="0" collapsed="false">
      <c r="G493" s="2"/>
      <c r="M493" s="2"/>
      <c r="Z493" s="3"/>
      <c r="AL493" s="4"/>
      <c r="AM493" s="5"/>
      <c r="AN493" s="5"/>
      <c r="AO493" s="5"/>
      <c r="AP493" s="5"/>
      <c r="AQ493" s="5"/>
      <c r="AR493" s="5"/>
      <c r="AS493" s="6"/>
      <c r="AU493" s="6"/>
      <c r="AW493" s="6"/>
      <c r="AY493" s="5"/>
      <c r="AZ493" s="5"/>
      <c r="BA493" s="5"/>
      <c r="BC493" s="6"/>
      <c r="BE493" s="6"/>
      <c r="BG493" s="6"/>
      <c r="BH493" s="5"/>
      <c r="BI493" s="5"/>
      <c r="BJ493" s="7"/>
    </row>
    <row r="494" s="1" customFormat="true" ht="14.25" hidden="false" customHeight="false" outlineLevel="0" collapsed="false">
      <c r="G494" s="2"/>
      <c r="M494" s="2"/>
      <c r="Z494" s="3"/>
      <c r="AL494" s="4"/>
      <c r="AM494" s="5"/>
      <c r="AN494" s="5"/>
      <c r="AO494" s="5"/>
      <c r="AP494" s="5"/>
      <c r="AQ494" s="5"/>
      <c r="AR494" s="5"/>
      <c r="AS494" s="6"/>
      <c r="AU494" s="6"/>
      <c r="AW494" s="6"/>
      <c r="AY494" s="5"/>
      <c r="AZ494" s="5"/>
      <c r="BA494" s="5"/>
      <c r="BC494" s="6"/>
      <c r="BE494" s="6"/>
      <c r="BG494" s="6"/>
      <c r="BH494" s="5"/>
      <c r="BI494" s="5"/>
      <c r="BJ494" s="7"/>
    </row>
    <row r="495" s="1" customFormat="true" ht="14.25" hidden="false" customHeight="false" outlineLevel="0" collapsed="false">
      <c r="G495" s="2"/>
      <c r="M495" s="2"/>
      <c r="Z495" s="3"/>
      <c r="AL495" s="4"/>
      <c r="AM495" s="5"/>
      <c r="AN495" s="5"/>
      <c r="AO495" s="5"/>
      <c r="AP495" s="5"/>
      <c r="AQ495" s="5"/>
      <c r="AR495" s="5"/>
      <c r="AS495" s="6"/>
      <c r="AU495" s="6"/>
      <c r="AW495" s="6"/>
      <c r="AY495" s="5"/>
      <c r="AZ495" s="5"/>
      <c r="BA495" s="5"/>
      <c r="BC495" s="6"/>
      <c r="BE495" s="6"/>
      <c r="BG495" s="6"/>
      <c r="BH495" s="5"/>
      <c r="BI495" s="5"/>
      <c r="BJ495" s="7"/>
    </row>
    <row r="496" s="1" customFormat="true" ht="14.25" hidden="false" customHeight="false" outlineLevel="0" collapsed="false">
      <c r="G496" s="2"/>
      <c r="M496" s="2"/>
      <c r="Z496" s="3"/>
      <c r="AL496" s="4"/>
      <c r="AM496" s="5"/>
      <c r="AN496" s="5"/>
      <c r="AO496" s="5"/>
      <c r="AP496" s="5"/>
      <c r="AQ496" s="5"/>
      <c r="AR496" s="5"/>
      <c r="AS496" s="6"/>
      <c r="AU496" s="6"/>
      <c r="AW496" s="6"/>
      <c r="AY496" s="5"/>
      <c r="AZ496" s="5"/>
      <c r="BA496" s="5"/>
      <c r="BC496" s="6"/>
      <c r="BE496" s="6"/>
      <c r="BG496" s="6"/>
      <c r="BH496" s="5"/>
      <c r="BI496" s="5"/>
      <c r="BJ496" s="7"/>
    </row>
    <row r="497" s="1" customFormat="true" ht="14.25" hidden="false" customHeight="false" outlineLevel="0" collapsed="false">
      <c r="G497" s="2"/>
      <c r="M497" s="2"/>
      <c r="Z497" s="3"/>
      <c r="AL497" s="4"/>
      <c r="AM497" s="5"/>
      <c r="AN497" s="5"/>
      <c r="AO497" s="5"/>
      <c r="AP497" s="5"/>
      <c r="AQ497" s="5"/>
      <c r="AR497" s="5"/>
      <c r="AS497" s="6"/>
      <c r="AU497" s="6"/>
      <c r="AW497" s="6"/>
      <c r="AY497" s="5"/>
      <c r="AZ497" s="5"/>
      <c r="BA497" s="5"/>
      <c r="BC497" s="6"/>
      <c r="BE497" s="6"/>
      <c r="BG497" s="6"/>
      <c r="BH497" s="5"/>
      <c r="BI497" s="5"/>
      <c r="BJ497" s="7"/>
    </row>
    <row r="498" s="1" customFormat="true" ht="14.25" hidden="false" customHeight="false" outlineLevel="0" collapsed="false">
      <c r="G498" s="2"/>
      <c r="M498" s="2"/>
      <c r="Z498" s="3"/>
      <c r="AL498" s="4"/>
      <c r="AM498" s="5"/>
      <c r="AN498" s="5"/>
      <c r="AO498" s="5"/>
      <c r="AP498" s="5"/>
      <c r="AQ498" s="5"/>
      <c r="AR498" s="5"/>
      <c r="AS498" s="6"/>
      <c r="AU498" s="6"/>
      <c r="AW498" s="6"/>
      <c r="AY498" s="5"/>
      <c r="AZ498" s="5"/>
      <c r="BA498" s="5"/>
      <c r="BC498" s="6"/>
      <c r="BE498" s="6"/>
      <c r="BG498" s="6"/>
      <c r="BH498" s="5"/>
      <c r="BI498" s="5"/>
      <c r="BJ498" s="7"/>
    </row>
    <row r="499" s="1" customFormat="true" ht="14.25" hidden="false" customHeight="false" outlineLevel="0" collapsed="false">
      <c r="G499" s="2"/>
      <c r="M499" s="2"/>
      <c r="Z499" s="3"/>
      <c r="AL499" s="4"/>
      <c r="AM499" s="5"/>
      <c r="AN499" s="5"/>
      <c r="AO499" s="5"/>
      <c r="AP499" s="5"/>
      <c r="AQ499" s="5"/>
      <c r="AR499" s="5"/>
      <c r="AS499" s="6"/>
      <c r="AU499" s="6"/>
      <c r="AW499" s="6"/>
      <c r="AY499" s="5"/>
      <c r="AZ499" s="5"/>
      <c r="BA499" s="5"/>
      <c r="BC499" s="6"/>
      <c r="BE499" s="6"/>
      <c r="BG499" s="6"/>
      <c r="BH499" s="5"/>
      <c r="BI499" s="5"/>
      <c r="BJ499" s="7"/>
    </row>
    <row r="500" s="1" customFormat="true" ht="14.25" hidden="false" customHeight="false" outlineLevel="0" collapsed="false">
      <c r="G500" s="2"/>
      <c r="M500" s="2"/>
      <c r="Z500" s="3"/>
      <c r="AL500" s="4"/>
      <c r="AM500" s="5"/>
      <c r="AN500" s="5"/>
      <c r="AO500" s="5"/>
      <c r="AP500" s="5"/>
      <c r="AQ500" s="5"/>
      <c r="AR500" s="5"/>
      <c r="AS500" s="6"/>
      <c r="AU500" s="6"/>
      <c r="AW500" s="6"/>
      <c r="AY500" s="5"/>
      <c r="AZ500" s="5"/>
      <c r="BA500" s="5"/>
      <c r="BC500" s="6"/>
      <c r="BE500" s="6"/>
      <c r="BG500" s="6"/>
      <c r="BH500" s="5"/>
      <c r="BI500" s="5"/>
      <c r="BJ500" s="7"/>
    </row>
    <row r="501" s="1" customFormat="true" ht="14.25" hidden="false" customHeight="false" outlineLevel="0" collapsed="false">
      <c r="G501" s="2"/>
      <c r="M501" s="2"/>
      <c r="Z501" s="3"/>
      <c r="AL501" s="4"/>
      <c r="AM501" s="5"/>
      <c r="AN501" s="5"/>
      <c r="AO501" s="5"/>
      <c r="AP501" s="5"/>
      <c r="AQ501" s="5"/>
      <c r="AR501" s="5"/>
      <c r="AS501" s="6"/>
      <c r="AU501" s="6"/>
      <c r="AW501" s="6"/>
      <c r="AY501" s="5"/>
      <c r="AZ501" s="5"/>
      <c r="BA501" s="5"/>
      <c r="BC501" s="6"/>
      <c r="BE501" s="6"/>
      <c r="BG501" s="6"/>
      <c r="BH501" s="5"/>
      <c r="BI501" s="5"/>
      <c r="BJ501" s="7"/>
    </row>
    <row r="502" s="1" customFormat="true" ht="14.25" hidden="false" customHeight="false" outlineLevel="0" collapsed="false">
      <c r="G502" s="2"/>
      <c r="M502" s="2"/>
      <c r="Z502" s="3"/>
      <c r="AL502" s="4"/>
      <c r="AM502" s="5"/>
      <c r="AN502" s="5"/>
      <c r="AO502" s="5"/>
      <c r="AP502" s="5"/>
      <c r="AQ502" s="5"/>
      <c r="AR502" s="5"/>
      <c r="AS502" s="6"/>
      <c r="AU502" s="6"/>
      <c r="AW502" s="6"/>
      <c r="AY502" s="5"/>
      <c r="AZ502" s="5"/>
      <c r="BA502" s="5"/>
      <c r="BC502" s="6"/>
      <c r="BE502" s="6"/>
      <c r="BG502" s="6"/>
      <c r="BH502" s="5"/>
      <c r="BI502" s="5"/>
      <c r="BJ502" s="7"/>
    </row>
    <row r="503" s="1" customFormat="true" ht="14.25" hidden="false" customHeight="false" outlineLevel="0" collapsed="false">
      <c r="G503" s="2"/>
      <c r="M503" s="2"/>
      <c r="Z503" s="3"/>
      <c r="AL503" s="4"/>
      <c r="AM503" s="5"/>
      <c r="AN503" s="5"/>
      <c r="AO503" s="5"/>
      <c r="AP503" s="5"/>
      <c r="AQ503" s="5"/>
      <c r="AR503" s="5"/>
      <c r="AS503" s="6"/>
      <c r="AU503" s="6"/>
      <c r="AW503" s="6"/>
      <c r="AY503" s="5"/>
      <c r="AZ503" s="5"/>
      <c r="BA503" s="5"/>
      <c r="BC503" s="6"/>
      <c r="BE503" s="6"/>
      <c r="BG503" s="6"/>
      <c r="BH503" s="5"/>
      <c r="BI503" s="5"/>
      <c r="BJ503" s="7"/>
    </row>
    <row r="504" s="1" customFormat="true" ht="14.25" hidden="false" customHeight="false" outlineLevel="0" collapsed="false">
      <c r="G504" s="2"/>
      <c r="M504" s="2"/>
      <c r="Z504" s="3"/>
      <c r="AL504" s="4"/>
      <c r="AM504" s="5"/>
      <c r="AN504" s="5"/>
      <c r="AO504" s="5"/>
      <c r="AP504" s="5"/>
      <c r="AQ504" s="5"/>
      <c r="AR504" s="5"/>
      <c r="AS504" s="6"/>
      <c r="AU504" s="6"/>
      <c r="AW504" s="6"/>
      <c r="AY504" s="5"/>
      <c r="AZ504" s="5"/>
      <c r="BA504" s="5"/>
      <c r="BC504" s="6"/>
      <c r="BE504" s="6"/>
      <c r="BG504" s="6"/>
      <c r="BH504" s="5"/>
      <c r="BI504" s="5"/>
      <c r="BJ504" s="7"/>
    </row>
    <row r="505" s="1" customFormat="true" ht="14.25" hidden="false" customHeight="false" outlineLevel="0" collapsed="false">
      <c r="G505" s="2"/>
      <c r="M505" s="2"/>
      <c r="Z505" s="3"/>
      <c r="AL505" s="4"/>
      <c r="AM505" s="5"/>
      <c r="AN505" s="5"/>
      <c r="AO505" s="5"/>
      <c r="AP505" s="5"/>
      <c r="AQ505" s="5"/>
      <c r="AR505" s="5"/>
      <c r="AS505" s="6"/>
      <c r="AU505" s="6"/>
      <c r="AW505" s="6"/>
      <c r="AY505" s="5"/>
      <c r="AZ505" s="5"/>
      <c r="BA505" s="5"/>
      <c r="BC505" s="6"/>
      <c r="BE505" s="6"/>
      <c r="BG505" s="6"/>
      <c r="BH505" s="5"/>
      <c r="BI505" s="5"/>
      <c r="BJ505" s="7"/>
    </row>
    <row r="506" s="1" customFormat="true" ht="14.25" hidden="false" customHeight="false" outlineLevel="0" collapsed="false">
      <c r="G506" s="2"/>
      <c r="M506" s="2"/>
      <c r="Z506" s="3"/>
      <c r="AL506" s="4"/>
      <c r="AM506" s="5"/>
      <c r="AN506" s="5"/>
      <c r="AO506" s="5"/>
      <c r="AP506" s="5"/>
      <c r="AQ506" s="5"/>
      <c r="AR506" s="5"/>
      <c r="AS506" s="6"/>
      <c r="AU506" s="6"/>
      <c r="AW506" s="6"/>
      <c r="AY506" s="5"/>
      <c r="AZ506" s="5"/>
      <c r="BA506" s="5"/>
      <c r="BC506" s="6"/>
      <c r="BE506" s="6"/>
      <c r="BG506" s="6"/>
      <c r="BH506" s="5"/>
      <c r="BI506" s="5"/>
      <c r="BJ506" s="7"/>
    </row>
    <row r="507" s="1" customFormat="true" ht="14.25" hidden="false" customHeight="false" outlineLevel="0" collapsed="false">
      <c r="G507" s="2"/>
      <c r="M507" s="2"/>
      <c r="Z507" s="3"/>
      <c r="AL507" s="4"/>
      <c r="AM507" s="5"/>
      <c r="AN507" s="5"/>
      <c r="AO507" s="5"/>
      <c r="AP507" s="5"/>
      <c r="AQ507" s="5"/>
      <c r="AR507" s="5"/>
      <c r="AS507" s="6"/>
      <c r="AU507" s="6"/>
      <c r="AW507" s="6"/>
      <c r="AY507" s="5"/>
      <c r="AZ507" s="5"/>
      <c r="BA507" s="5"/>
      <c r="BC507" s="6"/>
      <c r="BE507" s="6"/>
      <c r="BG507" s="6"/>
      <c r="BH507" s="5"/>
      <c r="BI507" s="5"/>
      <c r="BJ507" s="7"/>
    </row>
    <row r="508" s="1" customFormat="true" ht="14.25" hidden="false" customHeight="false" outlineLevel="0" collapsed="false">
      <c r="G508" s="2"/>
      <c r="M508" s="2"/>
      <c r="Z508" s="3"/>
      <c r="AL508" s="4"/>
      <c r="AM508" s="5"/>
      <c r="AN508" s="5"/>
      <c r="AO508" s="5"/>
      <c r="AP508" s="5"/>
      <c r="AQ508" s="5"/>
      <c r="AR508" s="5"/>
      <c r="AS508" s="6"/>
      <c r="AU508" s="6"/>
      <c r="AW508" s="6"/>
      <c r="AY508" s="5"/>
      <c r="AZ508" s="5"/>
      <c r="BA508" s="5"/>
      <c r="BC508" s="6"/>
      <c r="BE508" s="6"/>
      <c r="BG508" s="6"/>
      <c r="BH508" s="5"/>
      <c r="BI508" s="5"/>
      <c r="BJ508" s="7"/>
    </row>
    <row r="509" s="1" customFormat="true" ht="14.25" hidden="false" customHeight="false" outlineLevel="0" collapsed="false">
      <c r="G509" s="2"/>
      <c r="M509" s="2"/>
      <c r="Z509" s="3"/>
      <c r="AL509" s="4"/>
      <c r="AM509" s="5"/>
      <c r="AN509" s="5"/>
      <c r="AO509" s="5"/>
      <c r="AP509" s="5"/>
      <c r="AQ509" s="5"/>
      <c r="AR509" s="5"/>
      <c r="AS509" s="6"/>
      <c r="AU509" s="6"/>
      <c r="AW509" s="6"/>
      <c r="AY509" s="5"/>
      <c r="AZ509" s="5"/>
      <c r="BA509" s="5"/>
      <c r="BC509" s="6"/>
      <c r="BE509" s="6"/>
      <c r="BG509" s="6"/>
      <c r="BH509" s="5"/>
      <c r="BI509" s="5"/>
      <c r="BJ509" s="7"/>
    </row>
    <row r="510" s="1" customFormat="true" ht="14.25" hidden="false" customHeight="false" outlineLevel="0" collapsed="false">
      <c r="G510" s="2"/>
      <c r="M510" s="2"/>
      <c r="Z510" s="3"/>
      <c r="AL510" s="4"/>
      <c r="AM510" s="5"/>
      <c r="AN510" s="5"/>
      <c r="AO510" s="5"/>
      <c r="AP510" s="5"/>
      <c r="AQ510" s="5"/>
      <c r="AR510" s="5"/>
      <c r="AS510" s="6"/>
      <c r="AU510" s="6"/>
      <c r="AW510" s="6"/>
      <c r="AY510" s="5"/>
      <c r="AZ510" s="5"/>
      <c r="BA510" s="5"/>
      <c r="BC510" s="6"/>
      <c r="BE510" s="6"/>
      <c r="BG510" s="6"/>
      <c r="BH510" s="5"/>
      <c r="BI510" s="5"/>
      <c r="BJ510" s="7"/>
    </row>
    <row r="511" s="1" customFormat="true" ht="14.25" hidden="false" customHeight="false" outlineLevel="0" collapsed="false">
      <c r="G511" s="2"/>
      <c r="M511" s="2"/>
      <c r="Z511" s="3"/>
      <c r="AL511" s="4"/>
      <c r="AM511" s="5"/>
      <c r="AN511" s="5"/>
      <c r="AO511" s="5"/>
      <c r="AP511" s="5"/>
      <c r="AQ511" s="5"/>
      <c r="AR511" s="5"/>
      <c r="AS511" s="6"/>
      <c r="AU511" s="6"/>
      <c r="AW511" s="6"/>
      <c r="AY511" s="5"/>
      <c r="AZ511" s="5"/>
      <c r="BA511" s="5"/>
      <c r="BC511" s="6"/>
      <c r="BE511" s="6"/>
      <c r="BG511" s="6"/>
      <c r="BH511" s="5"/>
      <c r="BI511" s="5"/>
      <c r="BJ511" s="7"/>
    </row>
    <row r="512" s="1" customFormat="true" ht="14.25" hidden="false" customHeight="false" outlineLevel="0" collapsed="false">
      <c r="G512" s="2"/>
      <c r="M512" s="2"/>
      <c r="Z512" s="3"/>
      <c r="AL512" s="4"/>
      <c r="AM512" s="5"/>
      <c r="AN512" s="5"/>
      <c r="AO512" s="5"/>
      <c r="AP512" s="5"/>
      <c r="AQ512" s="5"/>
      <c r="AR512" s="5"/>
      <c r="AS512" s="6"/>
      <c r="AU512" s="6"/>
      <c r="AW512" s="6"/>
      <c r="AY512" s="5"/>
      <c r="AZ512" s="5"/>
      <c r="BA512" s="5"/>
      <c r="BC512" s="6"/>
      <c r="BE512" s="6"/>
      <c r="BG512" s="6"/>
      <c r="BH512" s="5"/>
      <c r="BI512" s="5"/>
      <c r="BJ512" s="7"/>
    </row>
    <row r="513" s="1" customFormat="true" ht="14.25" hidden="false" customHeight="false" outlineLevel="0" collapsed="false">
      <c r="G513" s="2"/>
      <c r="M513" s="2"/>
      <c r="Z513" s="3"/>
      <c r="AL513" s="4"/>
      <c r="AM513" s="5"/>
      <c r="AN513" s="5"/>
      <c r="AO513" s="5"/>
      <c r="AP513" s="5"/>
      <c r="AQ513" s="5"/>
      <c r="AR513" s="5"/>
      <c r="AS513" s="6"/>
      <c r="AU513" s="6"/>
      <c r="AW513" s="6"/>
      <c r="AY513" s="5"/>
      <c r="AZ513" s="5"/>
      <c r="BA513" s="5"/>
      <c r="BC513" s="6"/>
      <c r="BE513" s="6"/>
      <c r="BG513" s="6"/>
      <c r="BH513" s="5"/>
      <c r="BI513" s="5"/>
      <c r="BJ513" s="7"/>
    </row>
    <row r="514" s="1" customFormat="true" ht="14.25" hidden="false" customHeight="false" outlineLevel="0" collapsed="false">
      <c r="G514" s="2"/>
      <c r="M514" s="2"/>
      <c r="Z514" s="3"/>
      <c r="AL514" s="4"/>
      <c r="AM514" s="5"/>
      <c r="AN514" s="5"/>
      <c r="AO514" s="5"/>
      <c r="AP514" s="5"/>
      <c r="AQ514" s="5"/>
      <c r="AR514" s="5"/>
      <c r="AS514" s="6"/>
      <c r="AU514" s="6"/>
      <c r="AW514" s="6"/>
      <c r="AY514" s="5"/>
      <c r="AZ514" s="5"/>
      <c r="BA514" s="5"/>
      <c r="BC514" s="6"/>
      <c r="BE514" s="6"/>
      <c r="BG514" s="6"/>
      <c r="BH514" s="5"/>
      <c r="BI514" s="5"/>
      <c r="BJ514" s="7"/>
    </row>
    <row r="515" s="1" customFormat="true" ht="14.25" hidden="false" customHeight="false" outlineLevel="0" collapsed="false">
      <c r="G515" s="2"/>
      <c r="M515" s="2"/>
      <c r="Z515" s="3"/>
      <c r="AL515" s="4"/>
      <c r="AM515" s="5"/>
      <c r="AN515" s="5"/>
      <c r="AO515" s="5"/>
      <c r="AP515" s="5"/>
      <c r="AQ515" s="5"/>
      <c r="AR515" s="5"/>
      <c r="AS515" s="6"/>
      <c r="AU515" s="6"/>
      <c r="AW515" s="6"/>
      <c r="AY515" s="5"/>
      <c r="AZ515" s="5"/>
      <c r="BA515" s="5"/>
      <c r="BC515" s="6"/>
      <c r="BE515" s="6"/>
      <c r="BG515" s="6"/>
      <c r="BH515" s="5"/>
      <c r="BI515" s="5"/>
      <c r="BJ515" s="7"/>
    </row>
    <row r="516" s="1" customFormat="true" ht="14.25" hidden="false" customHeight="false" outlineLevel="0" collapsed="false">
      <c r="G516" s="2"/>
      <c r="M516" s="2"/>
      <c r="Z516" s="3"/>
      <c r="AL516" s="4"/>
      <c r="AM516" s="5"/>
      <c r="AN516" s="5"/>
      <c r="AO516" s="5"/>
      <c r="AP516" s="5"/>
      <c r="AQ516" s="5"/>
      <c r="AR516" s="5"/>
      <c r="AS516" s="6"/>
      <c r="AU516" s="6"/>
      <c r="AW516" s="6"/>
      <c r="AY516" s="5"/>
      <c r="AZ516" s="5"/>
      <c r="BA516" s="5"/>
      <c r="BC516" s="6"/>
      <c r="BE516" s="6"/>
      <c r="BG516" s="6"/>
      <c r="BH516" s="5"/>
      <c r="BI516" s="5"/>
      <c r="BJ516" s="7"/>
    </row>
    <row r="517" s="1" customFormat="true" ht="14.25" hidden="false" customHeight="false" outlineLevel="0" collapsed="false">
      <c r="G517" s="2"/>
      <c r="M517" s="2"/>
      <c r="Z517" s="3"/>
      <c r="AL517" s="4"/>
      <c r="AM517" s="5"/>
      <c r="AN517" s="5"/>
      <c r="AO517" s="5"/>
      <c r="AP517" s="5"/>
      <c r="AQ517" s="5"/>
      <c r="AR517" s="5"/>
      <c r="AS517" s="6"/>
      <c r="AU517" s="6"/>
      <c r="AW517" s="6"/>
      <c r="AY517" s="5"/>
      <c r="AZ517" s="5"/>
      <c r="BA517" s="5"/>
      <c r="BC517" s="6"/>
      <c r="BE517" s="6"/>
      <c r="BG517" s="6"/>
      <c r="BH517" s="5"/>
      <c r="BI517" s="5"/>
      <c r="BJ517" s="7"/>
    </row>
    <row r="518" s="1" customFormat="true" ht="14.25" hidden="false" customHeight="false" outlineLevel="0" collapsed="false">
      <c r="G518" s="2"/>
      <c r="M518" s="2"/>
      <c r="Z518" s="3"/>
      <c r="AL518" s="4"/>
      <c r="AM518" s="5"/>
      <c r="AN518" s="5"/>
      <c r="AO518" s="5"/>
      <c r="AP518" s="5"/>
      <c r="AQ518" s="5"/>
      <c r="AR518" s="5"/>
      <c r="AS518" s="6"/>
      <c r="AU518" s="6"/>
      <c r="AW518" s="6"/>
      <c r="AY518" s="5"/>
      <c r="AZ518" s="5"/>
      <c r="BA518" s="5"/>
      <c r="BC518" s="6"/>
      <c r="BE518" s="6"/>
      <c r="BG518" s="6"/>
      <c r="BH518" s="5"/>
      <c r="BI518" s="5"/>
      <c r="BJ518" s="7"/>
    </row>
    <row r="519" s="1" customFormat="true" ht="14.25" hidden="false" customHeight="false" outlineLevel="0" collapsed="false">
      <c r="G519" s="2"/>
      <c r="M519" s="2"/>
      <c r="Z519" s="3"/>
      <c r="AL519" s="4"/>
      <c r="AM519" s="5"/>
      <c r="AN519" s="5"/>
      <c r="AO519" s="5"/>
      <c r="AP519" s="5"/>
      <c r="AQ519" s="5"/>
      <c r="AR519" s="5"/>
      <c r="AS519" s="6"/>
      <c r="AU519" s="6"/>
      <c r="AW519" s="6"/>
      <c r="AY519" s="5"/>
      <c r="AZ519" s="5"/>
      <c r="BA519" s="5"/>
      <c r="BC519" s="6"/>
      <c r="BE519" s="6"/>
      <c r="BG519" s="6"/>
      <c r="BH519" s="5"/>
      <c r="BI519" s="5"/>
      <c r="BJ519" s="7"/>
    </row>
    <row r="520" s="1" customFormat="true" ht="14.25" hidden="false" customHeight="false" outlineLevel="0" collapsed="false">
      <c r="G520" s="2"/>
      <c r="M520" s="2"/>
      <c r="Z520" s="3"/>
      <c r="AL520" s="4"/>
      <c r="AM520" s="5"/>
      <c r="AN520" s="5"/>
      <c r="AO520" s="5"/>
      <c r="AP520" s="5"/>
      <c r="AQ520" s="5"/>
      <c r="AR520" s="5"/>
      <c r="AS520" s="6"/>
      <c r="AU520" s="6"/>
      <c r="AW520" s="6"/>
      <c r="AY520" s="5"/>
      <c r="AZ520" s="5"/>
      <c r="BA520" s="5"/>
      <c r="BC520" s="6"/>
      <c r="BE520" s="6"/>
      <c r="BG520" s="6"/>
      <c r="BH520" s="5"/>
      <c r="BI520" s="5"/>
      <c r="BJ520" s="7"/>
    </row>
    <row r="521" s="1" customFormat="true" ht="14.25" hidden="false" customHeight="false" outlineLevel="0" collapsed="false">
      <c r="G521" s="2"/>
      <c r="M521" s="2"/>
      <c r="Z521" s="3"/>
      <c r="AL521" s="4"/>
      <c r="AM521" s="5"/>
      <c r="AN521" s="5"/>
      <c r="AO521" s="5"/>
      <c r="AP521" s="5"/>
      <c r="AQ521" s="5"/>
      <c r="AR521" s="5"/>
      <c r="AS521" s="6"/>
      <c r="AU521" s="6"/>
      <c r="AW521" s="6"/>
      <c r="AY521" s="5"/>
      <c r="AZ521" s="5"/>
      <c r="BA521" s="5"/>
      <c r="BC521" s="6"/>
      <c r="BE521" s="6"/>
      <c r="BG521" s="6"/>
      <c r="BH521" s="5"/>
      <c r="BI521" s="5"/>
      <c r="BJ521" s="7"/>
    </row>
    <row r="522" s="1" customFormat="true" ht="14.25" hidden="false" customHeight="false" outlineLevel="0" collapsed="false">
      <c r="G522" s="2"/>
      <c r="M522" s="2"/>
      <c r="Z522" s="3"/>
      <c r="AL522" s="4"/>
      <c r="AM522" s="5"/>
      <c r="AN522" s="5"/>
      <c r="AO522" s="5"/>
      <c r="AP522" s="5"/>
      <c r="AQ522" s="5"/>
      <c r="AR522" s="5"/>
      <c r="AS522" s="6"/>
      <c r="AU522" s="6"/>
      <c r="AW522" s="6"/>
      <c r="AY522" s="5"/>
      <c r="AZ522" s="5"/>
      <c r="BA522" s="5"/>
      <c r="BC522" s="6"/>
      <c r="BE522" s="6"/>
      <c r="BG522" s="6"/>
      <c r="BH522" s="5"/>
      <c r="BI522" s="5"/>
      <c r="BJ522" s="7"/>
    </row>
    <row r="523" s="1" customFormat="true" ht="14.25" hidden="false" customHeight="false" outlineLevel="0" collapsed="false">
      <c r="G523" s="2"/>
      <c r="M523" s="2"/>
      <c r="Z523" s="3"/>
      <c r="AL523" s="4"/>
      <c r="AM523" s="5"/>
      <c r="AN523" s="5"/>
      <c r="AO523" s="5"/>
      <c r="AP523" s="5"/>
      <c r="AQ523" s="5"/>
      <c r="AR523" s="5"/>
      <c r="AS523" s="6"/>
      <c r="AU523" s="6"/>
      <c r="AW523" s="6"/>
      <c r="AY523" s="5"/>
      <c r="AZ523" s="5"/>
      <c r="BA523" s="5"/>
      <c r="BC523" s="6"/>
      <c r="BE523" s="6"/>
      <c r="BG523" s="6"/>
      <c r="BH523" s="5"/>
      <c r="BI523" s="5"/>
      <c r="BJ523" s="7"/>
    </row>
    <row r="524" s="1" customFormat="true" ht="14.25" hidden="false" customHeight="false" outlineLevel="0" collapsed="false">
      <c r="G524" s="2"/>
      <c r="M524" s="2"/>
      <c r="Z524" s="3"/>
      <c r="AL524" s="4"/>
      <c r="AM524" s="5"/>
      <c r="AN524" s="5"/>
      <c r="AO524" s="5"/>
      <c r="AP524" s="5"/>
      <c r="AQ524" s="5"/>
      <c r="AR524" s="5"/>
      <c r="AS524" s="6"/>
      <c r="AU524" s="6"/>
      <c r="AW524" s="6"/>
      <c r="AY524" s="5"/>
      <c r="AZ524" s="5"/>
      <c r="BA524" s="5"/>
      <c r="BC524" s="6"/>
      <c r="BE524" s="6"/>
      <c r="BG524" s="6"/>
      <c r="BH524" s="5"/>
      <c r="BI524" s="5"/>
      <c r="BJ524" s="7"/>
    </row>
    <row r="525" s="1" customFormat="true" ht="14.25" hidden="false" customHeight="false" outlineLevel="0" collapsed="false">
      <c r="G525" s="2"/>
      <c r="M525" s="2"/>
      <c r="Z525" s="3"/>
      <c r="AL525" s="4"/>
      <c r="AM525" s="5"/>
      <c r="AN525" s="5"/>
      <c r="AO525" s="5"/>
      <c r="AP525" s="5"/>
      <c r="AQ525" s="5"/>
      <c r="AR525" s="5"/>
      <c r="AS525" s="6"/>
      <c r="AU525" s="6"/>
      <c r="AW525" s="6"/>
      <c r="AY525" s="5"/>
      <c r="AZ525" s="5"/>
      <c r="BA525" s="5"/>
      <c r="BC525" s="6"/>
      <c r="BE525" s="6"/>
      <c r="BG525" s="6"/>
      <c r="BH525" s="5"/>
      <c r="BI525" s="5"/>
      <c r="BJ525" s="7"/>
    </row>
    <row r="526" s="1" customFormat="true" ht="14.25" hidden="false" customHeight="false" outlineLevel="0" collapsed="false">
      <c r="G526" s="2"/>
      <c r="M526" s="2"/>
      <c r="Z526" s="3"/>
      <c r="AL526" s="4"/>
      <c r="AM526" s="5"/>
      <c r="AN526" s="5"/>
      <c r="AO526" s="5"/>
      <c r="AP526" s="5"/>
      <c r="AQ526" s="5"/>
      <c r="AR526" s="5"/>
      <c r="AS526" s="6"/>
      <c r="AU526" s="6"/>
      <c r="AW526" s="6"/>
      <c r="AY526" s="5"/>
      <c r="AZ526" s="5"/>
      <c r="BA526" s="5"/>
      <c r="BC526" s="6"/>
      <c r="BE526" s="6"/>
      <c r="BG526" s="6"/>
      <c r="BH526" s="5"/>
      <c r="BI526" s="5"/>
      <c r="BJ526" s="7"/>
    </row>
    <row r="527" s="1" customFormat="true" ht="14.25" hidden="false" customHeight="false" outlineLevel="0" collapsed="false">
      <c r="G527" s="2"/>
      <c r="M527" s="2"/>
      <c r="Z527" s="3"/>
      <c r="AL527" s="4"/>
      <c r="AM527" s="5"/>
      <c r="AN527" s="5"/>
      <c r="AO527" s="5"/>
      <c r="AP527" s="5"/>
      <c r="AQ527" s="5"/>
      <c r="AR527" s="5"/>
      <c r="AS527" s="6"/>
      <c r="AU527" s="6"/>
      <c r="AW527" s="6"/>
      <c r="AY527" s="5"/>
      <c r="AZ527" s="5"/>
      <c r="BA527" s="5"/>
      <c r="BC527" s="6"/>
      <c r="BE527" s="6"/>
      <c r="BG527" s="6"/>
      <c r="BH527" s="5"/>
      <c r="BI527" s="5"/>
      <c r="BJ527" s="7"/>
    </row>
    <row r="528" s="1" customFormat="true" ht="14.25" hidden="false" customHeight="false" outlineLevel="0" collapsed="false">
      <c r="G528" s="2"/>
      <c r="M528" s="2"/>
      <c r="Z528" s="3"/>
      <c r="AL528" s="4"/>
      <c r="AM528" s="5"/>
      <c r="AN528" s="5"/>
      <c r="AO528" s="5"/>
      <c r="AP528" s="5"/>
      <c r="AQ528" s="5"/>
      <c r="AR528" s="5"/>
      <c r="AS528" s="6"/>
      <c r="AU528" s="6"/>
      <c r="AW528" s="6"/>
      <c r="AY528" s="5"/>
      <c r="AZ528" s="5"/>
      <c r="BA528" s="5"/>
      <c r="BC528" s="6"/>
      <c r="BE528" s="6"/>
      <c r="BG528" s="6"/>
      <c r="BH528" s="5"/>
      <c r="BI528" s="5"/>
      <c r="BJ528" s="7"/>
    </row>
    <row r="529" s="1" customFormat="true" ht="14.25" hidden="false" customHeight="false" outlineLevel="0" collapsed="false">
      <c r="G529" s="2"/>
      <c r="M529" s="2"/>
      <c r="Z529" s="3"/>
      <c r="AL529" s="4"/>
      <c r="AM529" s="5"/>
      <c r="AN529" s="5"/>
      <c r="AO529" s="5"/>
      <c r="AP529" s="5"/>
      <c r="AQ529" s="5"/>
      <c r="AR529" s="5"/>
      <c r="AS529" s="6"/>
      <c r="AU529" s="6"/>
      <c r="AW529" s="6"/>
      <c r="AY529" s="5"/>
      <c r="AZ529" s="5"/>
      <c r="BA529" s="5"/>
      <c r="BC529" s="6"/>
      <c r="BE529" s="6"/>
      <c r="BG529" s="6"/>
      <c r="BH529" s="5"/>
      <c r="BI529" s="5"/>
      <c r="BJ529" s="7"/>
    </row>
    <row r="530" s="1" customFormat="true" ht="14.25" hidden="false" customHeight="false" outlineLevel="0" collapsed="false">
      <c r="G530" s="2"/>
      <c r="M530" s="2"/>
      <c r="Z530" s="3"/>
      <c r="AL530" s="4"/>
      <c r="AM530" s="5"/>
      <c r="AN530" s="5"/>
      <c r="AO530" s="5"/>
      <c r="AP530" s="5"/>
      <c r="AQ530" s="5"/>
      <c r="AR530" s="5"/>
      <c r="AS530" s="6"/>
      <c r="AU530" s="6"/>
      <c r="AW530" s="6"/>
      <c r="AY530" s="5"/>
      <c r="AZ530" s="5"/>
      <c r="BA530" s="5"/>
      <c r="BC530" s="6"/>
      <c r="BE530" s="6"/>
      <c r="BG530" s="6"/>
      <c r="BH530" s="5"/>
      <c r="BI530" s="5"/>
      <c r="BJ530" s="7"/>
    </row>
    <row r="531" s="1" customFormat="true" ht="14.25" hidden="false" customHeight="false" outlineLevel="0" collapsed="false">
      <c r="G531" s="2"/>
      <c r="M531" s="2"/>
      <c r="Z531" s="3"/>
      <c r="AL531" s="4"/>
      <c r="AM531" s="5"/>
      <c r="AN531" s="5"/>
      <c r="AO531" s="5"/>
      <c r="AP531" s="5"/>
      <c r="AQ531" s="5"/>
      <c r="AR531" s="5"/>
      <c r="AS531" s="6"/>
      <c r="AU531" s="6"/>
      <c r="AW531" s="6"/>
      <c r="AY531" s="5"/>
      <c r="AZ531" s="5"/>
      <c r="BA531" s="5"/>
      <c r="BC531" s="6"/>
      <c r="BE531" s="6"/>
      <c r="BG531" s="6"/>
      <c r="BH531" s="5"/>
      <c r="BI531" s="5"/>
      <c r="BJ531" s="7"/>
    </row>
    <row r="532" s="1" customFormat="true" ht="14.25" hidden="false" customHeight="false" outlineLevel="0" collapsed="false">
      <c r="G532" s="2"/>
      <c r="M532" s="2"/>
      <c r="Z532" s="3"/>
      <c r="AL532" s="4"/>
      <c r="AM532" s="5"/>
      <c r="AN532" s="5"/>
      <c r="AO532" s="5"/>
      <c r="AP532" s="5"/>
      <c r="AQ532" s="5"/>
      <c r="AR532" s="5"/>
      <c r="AS532" s="6"/>
      <c r="AU532" s="6"/>
      <c r="AW532" s="6"/>
      <c r="AY532" s="5"/>
      <c r="AZ532" s="5"/>
      <c r="BA532" s="5"/>
      <c r="BC532" s="6"/>
      <c r="BE532" s="6"/>
      <c r="BG532" s="6"/>
      <c r="BH532" s="5"/>
      <c r="BI532" s="5"/>
      <c r="BJ532" s="7"/>
    </row>
    <row r="533" s="1" customFormat="true" ht="14.25" hidden="false" customHeight="false" outlineLevel="0" collapsed="false">
      <c r="G533" s="2"/>
      <c r="M533" s="2"/>
      <c r="Z533" s="3"/>
      <c r="AL533" s="4"/>
      <c r="AM533" s="5"/>
      <c r="AN533" s="5"/>
      <c r="AO533" s="5"/>
      <c r="AP533" s="5"/>
      <c r="AQ533" s="5"/>
      <c r="AR533" s="5"/>
      <c r="AS533" s="6"/>
      <c r="AU533" s="6"/>
      <c r="AW533" s="6"/>
      <c r="AY533" s="5"/>
      <c r="AZ533" s="5"/>
      <c r="BA533" s="5"/>
      <c r="BC533" s="6"/>
      <c r="BE533" s="6"/>
      <c r="BG533" s="6"/>
      <c r="BH533" s="5"/>
      <c r="BI533" s="5"/>
      <c r="BJ533" s="7"/>
    </row>
    <row r="534" s="1" customFormat="true" ht="14.25" hidden="false" customHeight="false" outlineLevel="0" collapsed="false">
      <c r="G534" s="2"/>
      <c r="M534" s="2"/>
      <c r="Z534" s="3"/>
      <c r="AL534" s="4"/>
      <c r="AM534" s="5"/>
      <c r="AN534" s="5"/>
      <c r="AO534" s="5"/>
      <c r="AP534" s="5"/>
      <c r="AQ534" s="5"/>
      <c r="AR534" s="5"/>
      <c r="AS534" s="6"/>
      <c r="AU534" s="6"/>
      <c r="AW534" s="6"/>
      <c r="AY534" s="5"/>
      <c r="AZ534" s="5"/>
      <c r="BA534" s="5"/>
      <c r="BC534" s="6"/>
      <c r="BE534" s="6"/>
      <c r="BG534" s="6"/>
      <c r="BH534" s="5"/>
      <c r="BI534" s="5"/>
      <c r="BJ534" s="7"/>
    </row>
    <row r="535" s="1" customFormat="true" ht="14.25" hidden="false" customHeight="false" outlineLevel="0" collapsed="false">
      <c r="G535" s="2"/>
      <c r="M535" s="2"/>
      <c r="Z535" s="3"/>
      <c r="AL535" s="4"/>
      <c r="AM535" s="5"/>
      <c r="AN535" s="5"/>
      <c r="AO535" s="5"/>
      <c r="AP535" s="5"/>
      <c r="AQ535" s="5"/>
      <c r="AR535" s="5"/>
      <c r="AS535" s="6"/>
      <c r="AU535" s="6"/>
      <c r="AW535" s="6"/>
      <c r="AY535" s="5"/>
      <c r="AZ535" s="5"/>
      <c r="BA535" s="5"/>
      <c r="BC535" s="6"/>
      <c r="BE535" s="6"/>
      <c r="BG535" s="6"/>
      <c r="BH535" s="5"/>
      <c r="BI535" s="5"/>
      <c r="BJ535" s="7"/>
    </row>
    <row r="536" s="1" customFormat="true" ht="14.25" hidden="false" customHeight="false" outlineLevel="0" collapsed="false">
      <c r="G536" s="2"/>
      <c r="M536" s="2"/>
      <c r="Z536" s="3"/>
      <c r="AL536" s="4"/>
      <c r="AM536" s="5"/>
      <c r="AN536" s="5"/>
      <c r="AO536" s="5"/>
      <c r="AP536" s="5"/>
      <c r="AQ536" s="5"/>
      <c r="AR536" s="5"/>
      <c r="AS536" s="6"/>
      <c r="AU536" s="6"/>
      <c r="AW536" s="6"/>
      <c r="AY536" s="5"/>
      <c r="AZ536" s="5"/>
      <c r="BA536" s="5"/>
      <c r="BC536" s="6"/>
      <c r="BE536" s="6"/>
      <c r="BG536" s="6"/>
      <c r="BH536" s="5"/>
      <c r="BI536" s="5"/>
      <c r="BJ536" s="7"/>
    </row>
    <row r="537" s="1" customFormat="true" ht="14.25" hidden="false" customHeight="false" outlineLevel="0" collapsed="false">
      <c r="G537" s="2"/>
      <c r="M537" s="2"/>
      <c r="Z537" s="3"/>
      <c r="AL537" s="4"/>
      <c r="AM537" s="5"/>
      <c r="AN537" s="5"/>
      <c r="AO537" s="5"/>
      <c r="AP537" s="5"/>
      <c r="AQ537" s="5"/>
      <c r="AR537" s="5"/>
      <c r="AS537" s="6"/>
      <c r="AU537" s="6"/>
      <c r="AW537" s="6"/>
      <c r="AY537" s="5"/>
      <c r="AZ537" s="5"/>
      <c r="BA537" s="5"/>
      <c r="BC537" s="6"/>
      <c r="BE537" s="6"/>
      <c r="BG537" s="6"/>
      <c r="BH537" s="5"/>
      <c r="BI537" s="5"/>
      <c r="BJ537" s="7"/>
    </row>
    <row r="538" s="1" customFormat="true" ht="14.25" hidden="false" customHeight="false" outlineLevel="0" collapsed="false">
      <c r="G538" s="2"/>
      <c r="M538" s="2"/>
      <c r="Z538" s="3"/>
      <c r="AL538" s="4"/>
      <c r="AM538" s="5"/>
      <c r="AN538" s="5"/>
      <c r="AO538" s="5"/>
      <c r="AP538" s="5"/>
      <c r="AQ538" s="5"/>
      <c r="AR538" s="5"/>
      <c r="AS538" s="6"/>
      <c r="AU538" s="6"/>
      <c r="AW538" s="6"/>
      <c r="AY538" s="5"/>
      <c r="AZ538" s="5"/>
      <c r="BA538" s="5"/>
      <c r="BC538" s="6"/>
      <c r="BE538" s="6"/>
      <c r="BG538" s="6"/>
      <c r="BH538" s="5"/>
      <c r="BI538" s="5"/>
      <c r="BJ538" s="7"/>
    </row>
    <row r="539" s="1" customFormat="true" ht="14.25" hidden="false" customHeight="false" outlineLevel="0" collapsed="false">
      <c r="G539" s="2"/>
      <c r="M539" s="2"/>
      <c r="Z539" s="3"/>
      <c r="AL539" s="4"/>
      <c r="AM539" s="5"/>
      <c r="AN539" s="5"/>
      <c r="AO539" s="5"/>
      <c r="AP539" s="5"/>
      <c r="AQ539" s="5"/>
      <c r="AR539" s="5"/>
      <c r="AS539" s="6"/>
      <c r="AU539" s="6"/>
      <c r="AW539" s="6"/>
      <c r="AY539" s="5"/>
      <c r="AZ539" s="5"/>
      <c r="BA539" s="5"/>
      <c r="BC539" s="6"/>
      <c r="BE539" s="6"/>
      <c r="BG539" s="6"/>
      <c r="BH539" s="5"/>
      <c r="BI539" s="5"/>
      <c r="BJ539" s="7"/>
    </row>
    <row r="540" s="1" customFormat="true" ht="14.25" hidden="false" customHeight="false" outlineLevel="0" collapsed="false">
      <c r="G540" s="2"/>
      <c r="M540" s="2"/>
      <c r="Z540" s="3"/>
      <c r="AL540" s="4"/>
      <c r="AM540" s="5"/>
      <c r="AN540" s="5"/>
      <c r="AO540" s="5"/>
      <c r="AP540" s="5"/>
      <c r="AQ540" s="5"/>
      <c r="AR540" s="5"/>
      <c r="AS540" s="6"/>
      <c r="AU540" s="6"/>
      <c r="AW540" s="6"/>
      <c r="AY540" s="5"/>
      <c r="AZ540" s="5"/>
      <c r="BA540" s="5"/>
      <c r="BC540" s="6"/>
      <c r="BE540" s="6"/>
      <c r="BG540" s="6"/>
      <c r="BH540" s="5"/>
      <c r="BI540" s="5"/>
      <c r="BJ540" s="7"/>
    </row>
    <row r="541" s="1" customFormat="true" ht="14.25" hidden="false" customHeight="false" outlineLevel="0" collapsed="false">
      <c r="G541" s="2"/>
      <c r="M541" s="2"/>
      <c r="Z541" s="3"/>
      <c r="AL541" s="4"/>
      <c r="AM541" s="5"/>
      <c r="AN541" s="5"/>
      <c r="AO541" s="5"/>
      <c r="AP541" s="5"/>
      <c r="AQ541" s="5"/>
      <c r="AR541" s="5"/>
      <c r="AS541" s="6"/>
      <c r="AU541" s="6"/>
      <c r="AW541" s="6"/>
      <c r="AY541" s="5"/>
      <c r="AZ541" s="5"/>
      <c r="BA541" s="5"/>
      <c r="BC541" s="6"/>
      <c r="BE541" s="6"/>
      <c r="BG541" s="6"/>
      <c r="BH541" s="5"/>
      <c r="BI541" s="5"/>
      <c r="BJ541" s="7"/>
    </row>
    <row r="542" s="1" customFormat="true" ht="14.25" hidden="false" customHeight="false" outlineLevel="0" collapsed="false">
      <c r="G542" s="2"/>
      <c r="M542" s="2"/>
      <c r="Z542" s="3"/>
      <c r="AL542" s="4"/>
      <c r="AM542" s="5"/>
      <c r="AN542" s="5"/>
      <c r="AO542" s="5"/>
      <c r="AP542" s="5"/>
      <c r="AQ542" s="5"/>
      <c r="AR542" s="5"/>
      <c r="AS542" s="6"/>
      <c r="AU542" s="6"/>
      <c r="AW542" s="6"/>
      <c r="AY542" s="5"/>
      <c r="AZ542" s="5"/>
      <c r="BA542" s="5"/>
      <c r="BC542" s="6"/>
      <c r="BE542" s="6"/>
      <c r="BG542" s="6"/>
      <c r="BH542" s="5"/>
      <c r="BI542" s="5"/>
      <c r="BJ542" s="7"/>
    </row>
    <row r="543" s="1" customFormat="true" ht="14.25" hidden="false" customHeight="false" outlineLevel="0" collapsed="false">
      <c r="G543" s="2"/>
      <c r="M543" s="2"/>
      <c r="Z543" s="3"/>
      <c r="AL543" s="4"/>
      <c r="AM543" s="5"/>
      <c r="AN543" s="5"/>
      <c r="AO543" s="5"/>
      <c r="AP543" s="5"/>
      <c r="AQ543" s="5"/>
      <c r="AR543" s="5"/>
      <c r="AS543" s="6"/>
      <c r="AU543" s="6"/>
      <c r="AW543" s="6"/>
      <c r="AY543" s="5"/>
      <c r="AZ543" s="5"/>
      <c r="BA543" s="5"/>
      <c r="BC543" s="6"/>
      <c r="BE543" s="6"/>
      <c r="BG543" s="6"/>
      <c r="BH543" s="5"/>
      <c r="BI543" s="5"/>
      <c r="BJ543" s="7"/>
    </row>
    <row r="544" s="1" customFormat="true" ht="14.25" hidden="false" customHeight="false" outlineLevel="0" collapsed="false">
      <c r="G544" s="2"/>
      <c r="M544" s="2"/>
      <c r="Z544" s="3"/>
      <c r="AL544" s="4"/>
      <c r="AM544" s="5"/>
      <c r="AN544" s="5"/>
      <c r="AO544" s="5"/>
      <c r="AP544" s="5"/>
      <c r="AQ544" s="5"/>
      <c r="AR544" s="5"/>
      <c r="AS544" s="6"/>
      <c r="AU544" s="6"/>
      <c r="AW544" s="6"/>
      <c r="AY544" s="5"/>
      <c r="AZ544" s="5"/>
      <c r="BA544" s="5"/>
      <c r="BC544" s="6"/>
      <c r="BE544" s="6"/>
      <c r="BG544" s="6"/>
      <c r="BH544" s="5"/>
      <c r="BI544" s="5"/>
      <c r="BJ544" s="7"/>
    </row>
    <row r="545" s="1" customFormat="true" ht="14.25" hidden="false" customHeight="false" outlineLevel="0" collapsed="false">
      <c r="G545" s="2"/>
      <c r="M545" s="2"/>
      <c r="Z545" s="3"/>
      <c r="AL545" s="4"/>
      <c r="AM545" s="5"/>
      <c r="AN545" s="5"/>
      <c r="AO545" s="5"/>
      <c r="AP545" s="5"/>
      <c r="AQ545" s="5"/>
      <c r="AR545" s="5"/>
      <c r="AS545" s="6"/>
      <c r="AU545" s="6"/>
      <c r="AW545" s="6"/>
      <c r="AY545" s="5"/>
      <c r="AZ545" s="5"/>
      <c r="BA545" s="5"/>
      <c r="BC545" s="6"/>
      <c r="BE545" s="6"/>
      <c r="BG545" s="6"/>
      <c r="BH545" s="5"/>
      <c r="BI545" s="5"/>
      <c r="BJ545" s="7"/>
    </row>
    <row r="546" s="1" customFormat="true" ht="14.25" hidden="false" customHeight="false" outlineLevel="0" collapsed="false">
      <c r="G546" s="2"/>
      <c r="M546" s="2"/>
      <c r="Z546" s="3"/>
      <c r="AL546" s="4"/>
      <c r="AM546" s="5"/>
      <c r="AN546" s="5"/>
      <c r="AO546" s="5"/>
      <c r="AP546" s="5"/>
      <c r="AQ546" s="5"/>
      <c r="AR546" s="5"/>
      <c r="AS546" s="6"/>
      <c r="AU546" s="6"/>
      <c r="AW546" s="6"/>
      <c r="AY546" s="5"/>
      <c r="AZ546" s="5"/>
      <c r="BA546" s="5"/>
      <c r="BC546" s="6"/>
      <c r="BE546" s="6"/>
      <c r="BG546" s="6"/>
      <c r="BH546" s="5"/>
      <c r="BI546" s="5"/>
      <c r="BJ546" s="7"/>
    </row>
    <row r="547" s="1" customFormat="true" ht="14.25" hidden="false" customHeight="false" outlineLevel="0" collapsed="false">
      <c r="G547" s="2"/>
      <c r="M547" s="2"/>
      <c r="Z547" s="3"/>
      <c r="AL547" s="4"/>
      <c r="AM547" s="5"/>
      <c r="AN547" s="5"/>
      <c r="AO547" s="5"/>
      <c r="AP547" s="5"/>
      <c r="AQ547" s="5"/>
      <c r="AR547" s="5"/>
      <c r="AS547" s="6"/>
      <c r="AU547" s="6"/>
      <c r="AW547" s="6"/>
      <c r="AY547" s="5"/>
      <c r="AZ547" s="5"/>
      <c r="BA547" s="5"/>
      <c r="BC547" s="6"/>
      <c r="BE547" s="6"/>
      <c r="BG547" s="6"/>
      <c r="BH547" s="5"/>
      <c r="BI547" s="5"/>
      <c r="BJ547" s="7"/>
    </row>
    <row r="548" s="1" customFormat="true" ht="14.25" hidden="false" customHeight="false" outlineLevel="0" collapsed="false">
      <c r="G548" s="2"/>
      <c r="M548" s="2"/>
      <c r="Z548" s="3"/>
      <c r="AL548" s="4"/>
      <c r="AM548" s="5"/>
      <c r="AN548" s="5"/>
      <c r="AO548" s="5"/>
      <c r="AP548" s="5"/>
      <c r="AQ548" s="5"/>
      <c r="AR548" s="5"/>
      <c r="AS548" s="6"/>
      <c r="AU548" s="6"/>
      <c r="AW548" s="6"/>
      <c r="AY548" s="5"/>
      <c r="AZ548" s="5"/>
      <c r="BA548" s="5"/>
      <c r="BC548" s="6"/>
      <c r="BE548" s="6"/>
      <c r="BG548" s="6"/>
      <c r="BH548" s="5"/>
      <c r="BI548" s="5"/>
      <c r="BJ548" s="7"/>
    </row>
    <row r="549" s="1" customFormat="true" ht="14.25" hidden="false" customHeight="false" outlineLevel="0" collapsed="false">
      <c r="G549" s="2"/>
      <c r="M549" s="2"/>
      <c r="Z549" s="3"/>
      <c r="AL549" s="4"/>
      <c r="AM549" s="5"/>
      <c r="AN549" s="5"/>
      <c r="AO549" s="5"/>
      <c r="AP549" s="5"/>
      <c r="AQ549" s="5"/>
      <c r="AR549" s="5"/>
      <c r="AS549" s="6"/>
      <c r="AU549" s="6"/>
      <c r="AW549" s="6"/>
      <c r="AY549" s="5"/>
      <c r="AZ549" s="5"/>
      <c r="BA549" s="5"/>
      <c r="BC549" s="6"/>
      <c r="BE549" s="6"/>
      <c r="BG549" s="6"/>
      <c r="BH549" s="5"/>
      <c r="BI549" s="5"/>
      <c r="BJ549" s="7"/>
    </row>
    <row r="550" s="1" customFormat="true" ht="14.25" hidden="false" customHeight="false" outlineLevel="0" collapsed="false">
      <c r="G550" s="2"/>
      <c r="M550" s="2"/>
      <c r="Z550" s="3"/>
      <c r="AL550" s="4"/>
      <c r="AM550" s="5"/>
      <c r="AN550" s="5"/>
      <c r="AO550" s="5"/>
      <c r="AP550" s="5"/>
      <c r="AQ550" s="5"/>
      <c r="AR550" s="5"/>
      <c r="AS550" s="6"/>
      <c r="AU550" s="6"/>
      <c r="AW550" s="6"/>
      <c r="AY550" s="5"/>
      <c r="AZ550" s="5"/>
      <c r="BA550" s="5"/>
      <c r="BC550" s="6"/>
      <c r="BE550" s="6"/>
      <c r="BG550" s="6"/>
      <c r="BH550" s="5"/>
      <c r="BI550" s="5"/>
      <c r="BJ550" s="7"/>
    </row>
    <row r="551" s="1" customFormat="true" ht="14.25" hidden="false" customHeight="false" outlineLevel="0" collapsed="false">
      <c r="G551" s="2"/>
      <c r="M551" s="2"/>
      <c r="Z551" s="3"/>
      <c r="AL551" s="4"/>
      <c r="AM551" s="5"/>
      <c r="AN551" s="5"/>
      <c r="AO551" s="5"/>
      <c r="AP551" s="5"/>
      <c r="AQ551" s="5"/>
      <c r="AR551" s="5"/>
      <c r="AS551" s="6"/>
      <c r="AU551" s="6"/>
      <c r="AW551" s="6"/>
      <c r="AY551" s="5"/>
      <c r="AZ551" s="5"/>
      <c r="BA551" s="5"/>
      <c r="BC551" s="6"/>
      <c r="BE551" s="6"/>
      <c r="BG551" s="6"/>
      <c r="BH551" s="5"/>
      <c r="BI551" s="5"/>
      <c r="BJ551" s="7"/>
    </row>
    <row r="552" s="1" customFormat="true" ht="14.25" hidden="false" customHeight="false" outlineLevel="0" collapsed="false">
      <c r="G552" s="2"/>
      <c r="M552" s="2"/>
      <c r="Z552" s="3"/>
      <c r="AL552" s="4"/>
      <c r="AM552" s="5"/>
      <c r="AN552" s="5"/>
      <c r="AO552" s="5"/>
      <c r="AP552" s="5"/>
      <c r="AQ552" s="5"/>
      <c r="AR552" s="5"/>
      <c r="AS552" s="6"/>
      <c r="AU552" s="6"/>
      <c r="AW552" s="6"/>
      <c r="AY552" s="5"/>
      <c r="AZ552" s="5"/>
      <c r="BA552" s="5"/>
      <c r="BC552" s="6"/>
      <c r="BE552" s="6"/>
      <c r="BG552" s="6"/>
      <c r="BH552" s="5"/>
      <c r="BI552" s="5"/>
      <c r="BJ552" s="7"/>
    </row>
    <row r="553" s="1" customFormat="true" ht="14.25" hidden="false" customHeight="false" outlineLevel="0" collapsed="false">
      <c r="G553" s="2"/>
      <c r="M553" s="2"/>
      <c r="Z553" s="3"/>
      <c r="AL553" s="4"/>
      <c r="AM553" s="5"/>
      <c r="AN553" s="5"/>
      <c r="AO553" s="5"/>
      <c r="AP553" s="5"/>
      <c r="AQ553" s="5"/>
      <c r="AR553" s="5"/>
      <c r="AS553" s="6"/>
      <c r="AU553" s="6"/>
      <c r="AW553" s="6"/>
      <c r="AY553" s="5"/>
      <c r="AZ553" s="5"/>
      <c r="BA553" s="5"/>
      <c r="BC553" s="6"/>
      <c r="BE553" s="6"/>
      <c r="BG553" s="6"/>
      <c r="BH553" s="5"/>
      <c r="BI553" s="5"/>
      <c r="BJ553" s="7"/>
    </row>
    <row r="554" s="1" customFormat="true" ht="14.25" hidden="false" customHeight="false" outlineLevel="0" collapsed="false">
      <c r="G554" s="2"/>
      <c r="M554" s="2"/>
      <c r="Z554" s="3"/>
      <c r="AL554" s="4"/>
      <c r="AM554" s="5"/>
      <c r="AN554" s="5"/>
      <c r="AO554" s="5"/>
      <c r="AP554" s="5"/>
      <c r="AQ554" s="5"/>
      <c r="AR554" s="5"/>
      <c r="AS554" s="6"/>
      <c r="AU554" s="6"/>
      <c r="AW554" s="6"/>
      <c r="AY554" s="5"/>
      <c r="AZ554" s="5"/>
      <c r="BA554" s="5"/>
      <c r="BC554" s="6"/>
      <c r="BE554" s="6"/>
      <c r="BG554" s="6"/>
      <c r="BH554" s="5"/>
      <c r="BI554" s="5"/>
      <c r="BJ554" s="7"/>
    </row>
    <row r="555" s="1" customFormat="true" ht="14.25" hidden="false" customHeight="false" outlineLevel="0" collapsed="false">
      <c r="G555" s="2"/>
      <c r="M555" s="2"/>
      <c r="Z555" s="3"/>
      <c r="AL555" s="4"/>
      <c r="AM555" s="5"/>
      <c r="AN555" s="5"/>
      <c r="AO555" s="5"/>
      <c r="AP555" s="5"/>
      <c r="AQ555" s="5"/>
      <c r="AR555" s="5"/>
      <c r="AS555" s="6"/>
      <c r="AU555" s="6"/>
      <c r="AW555" s="6"/>
      <c r="AY555" s="5"/>
      <c r="AZ555" s="5"/>
      <c r="BA555" s="5"/>
      <c r="BC555" s="6"/>
      <c r="BE555" s="6"/>
      <c r="BG555" s="6"/>
      <c r="BH555" s="5"/>
      <c r="BI555" s="5"/>
      <c r="BJ555" s="7"/>
    </row>
    <row r="556" s="1" customFormat="true" ht="14.25" hidden="false" customHeight="false" outlineLevel="0" collapsed="false">
      <c r="G556" s="2"/>
      <c r="M556" s="2"/>
      <c r="Z556" s="3"/>
      <c r="AL556" s="4"/>
      <c r="AM556" s="5"/>
      <c r="AN556" s="5"/>
      <c r="AO556" s="5"/>
      <c r="AP556" s="5"/>
      <c r="AQ556" s="5"/>
      <c r="AR556" s="5"/>
      <c r="AS556" s="6"/>
      <c r="AU556" s="6"/>
      <c r="AW556" s="6"/>
      <c r="AY556" s="5"/>
      <c r="AZ556" s="5"/>
      <c r="BA556" s="5"/>
      <c r="BC556" s="6"/>
      <c r="BE556" s="6"/>
      <c r="BG556" s="6"/>
      <c r="BH556" s="5"/>
      <c r="BI556" s="5"/>
      <c r="BJ556" s="7"/>
    </row>
    <row r="557" s="1" customFormat="true" ht="14.25" hidden="false" customHeight="false" outlineLevel="0" collapsed="false">
      <c r="G557" s="2"/>
      <c r="M557" s="2"/>
      <c r="Z557" s="3"/>
      <c r="AL557" s="4"/>
      <c r="AM557" s="5"/>
      <c r="AN557" s="5"/>
      <c r="AO557" s="5"/>
      <c r="AP557" s="5"/>
      <c r="AQ557" s="5"/>
      <c r="AR557" s="5"/>
      <c r="AS557" s="6"/>
      <c r="AU557" s="6"/>
      <c r="AW557" s="6"/>
      <c r="AY557" s="5"/>
      <c r="AZ557" s="5"/>
      <c r="BA557" s="5"/>
      <c r="BC557" s="6"/>
      <c r="BE557" s="6"/>
      <c r="BG557" s="6"/>
      <c r="BH557" s="5"/>
      <c r="BI557" s="5"/>
      <c r="BJ557" s="7"/>
    </row>
    <row r="558" s="1" customFormat="true" ht="14.25" hidden="false" customHeight="false" outlineLevel="0" collapsed="false">
      <c r="G558" s="2"/>
      <c r="M558" s="2"/>
      <c r="Z558" s="3"/>
      <c r="AL558" s="4"/>
      <c r="AM558" s="5"/>
      <c r="AN558" s="5"/>
      <c r="AO558" s="5"/>
      <c r="AP558" s="5"/>
      <c r="AQ558" s="5"/>
      <c r="AR558" s="5"/>
      <c r="AS558" s="6"/>
      <c r="AU558" s="6"/>
      <c r="AW558" s="6"/>
      <c r="AY558" s="5"/>
      <c r="AZ558" s="5"/>
      <c r="BA558" s="5"/>
      <c r="BC558" s="6"/>
      <c r="BE558" s="6"/>
      <c r="BG558" s="6"/>
      <c r="BH558" s="5"/>
      <c r="BI558" s="5"/>
      <c r="BJ558" s="7"/>
    </row>
    <row r="559" s="1" customFormat="true" ht="14.25" hidden="false" customHeight="false" outlineLevel="0" collapsed="false">
      <c r="G559" s="2"/>
      <c r="M559" s="2"/>
      <c r="Z559" s="3"/>
      <c r="AL559" s="4"/>
      <c r="AM559" s="5"/>
      <c r="AN559" s="5"/>
      <c r="AO559" s="5"/>
      <c r="AP559" s="5"/>
      <c r="AQ559" s="5"/>
      <c r="AR559" s="5"/>
      <c r="AS559" s="6"/>
      <c r="AU559" s="6"/>
      <c r="AW559" s="6"/>
      <c r="AY559" s="5"/>
      <c r="AZ559" s="5"/>
      <c r="BA559" s="5"/>
      <c r="BC559" s="6"/>
      <c r="BE559" s="6"/>
      <c r="BG559" s="6"/>
      <c r="BH559" s="5"/>
      <c r="BI559" s="5"/>
      <c r="BJ559" s="7"/>
    </row>
    <row r="560" s="1" customFormat="true" ht="14.25" hidden="false" customHeight="false" outlineLevel="0" collapsed="false">
      <c r="G560" s="2"/>
      <c r="M560" s="2"/>
      <c r="Z560" s="3"/>
      <c r="AL560" s="4"/>
      <c r="AM560" s="5"/>
      <c r="AN560" s="5"/>
      <c r="AO560" s="5"/>
      <c r="AP560" s="5"/>
      <c r="AQ560" s="5"/>
      <c r="AR560" s="5"/>
      <c r="AS560" s="6"/>
      <c r="AU560" s="6"/>
      <c r="AW560" s="6"/>
      <c r="AY560" s="5"/>
      <c r="AZ560" s="5"/>
      <c r="BA560" s="5"/>
      <c r="BC560" s="6"/>
      <c r="BE560" s="6"/>
      <c r="BG560" s="6"/>
      <c r="BH560" s="5"/>
      <c r="BI560" s="5"/>
      <c r="BJ560" s="7"/>
    </row>
    <row r="561" s="1" customFormat="true" ht="14.25" hidden="false" customHeight="false" outlineLevel="0" collapsed="false">
      <c r="G561" s="2"/>
      <c r="M561" s="2"/>
      <c r="Z561" s="3"/>
      <c r="AL561" s="4"/>
      <c r="AM561" s="5"/>
      <c r="AN561" s="5"/>
      <c r="AO561" s="5"/>
      <c r="AP561" s="5"/>
      <c r="AQ561" s="5"/>
      <c r="AR561" s="5"/>
      <c r="AS561" s="6"/>
      <c r="AU561" s="6"/>
      <c r="AW561" s="6"/>
      <c r="AY561" s="5"/>
      <c r="AZ561" s="5"/>
      <c r="BA561" s="5"/>
      <c r="BC561" s="6"/>
      <c r="BE561" s="6"/>
      <c r="BG561" s="6"/>
      <c r="BH561" s="5"/>
      <c r="BI561" s="5"/>
      <c r="BJ561" s="7"/>
    </row>
    <row r="562" s="1" customFormat="true" ht="14.25" hidden="false" customHeight="false" outlineLevel="0" collapsed="false">
      <c r="G562" s="2"/>
      <c r="M562" s="2"/>
      <c r="Z562" s="3"/>
      <c r="AL562" s="4"/>
      <c r="AM562" s="5"/>
      <c r="AN562" s="5"/>
      <c r="AO562" s="5"/>
      <c r="AP562" s="5"/>
      <c r="AQ562" s="5"/>
      <c r="AR562" s="5"/>
      <c r="AS562" s="6"/>
      <c r="AU562" s="6"/>
      <c r="AW562" s="6"/>
      <c r="AY562" s="5"/>
      <c r="AZ562" s="5"/>
      <c r="BA562" s="5"/>
      <c r="BC562" s="6"/>
      <c r="BE562" s="6"/>
      <c r="BG562" s="6"/>
      <c r="BH562" s="5"/>
      <c r="BI562" s="5"/>
      <c r="BJ562" s="7"/>
    </row>
    <row r="563" s="1" customFormat="true" ht="14.25" hidden="false" customHeight="false" outlineLevel="0" collapsed="false">
      <c r="G563" s="2"/>
      <c r="M563" s="2"/>
      <c r="Z563" s="3"/>
      <c r="AL563" s="4"/>
      <c r="AM563" s="5"/>
      <c r="AN563" s="5"/>
      <c r="AO563" s="5"/>
      <c r="AP563" s="5"/>
      <c r="AQ563" s="5"/>
      <c r="AR563" s="5"/>
      <c r="AS563" s="6"/>
      <c r="AU563" s="6"/>
      <c r="AW563" s="6"/>
      <c r="AY563" s="5"/>
      <c r="AZ563" s="5"/>
      <c r="BA563" s="5"/>
      <c r="BC563" s="6"/>
      <c r="BE563" s="6"/>
      <c r="BG563" s="6"/>
      <c r="BH563" s="5"/>
      <c r="BI563" s="5"/>
      <c r="BJ563" s="7"/>
    </row>
    <row r="564" s="1" customFormat="true" ht="14.25" hidden="false" customHeight="false" outlineLevel="0" collapsed="false">
      <c r="G564" s="2"/>
      <c r="M564" s="2"/>
      <c r="Z564" s="3"/>
      <c r="AL564" s="4"/>
      <c r="AM564" s="5"/>
      <c r="AN564" s="5"/>
      <c r="AO564" s="5"/>
      <c r="AP564" s="5"/>
      <c r="AQ564" s="5"/>
      <c r="AR564" s="5"/>
      <c r="AS564" s="6"/>
      <c r="AU564" s="6"/>
      <c r="AW564" s="6"/>
      <c r="AY564" s="5"/>
      <c r="AZ564" s="5"/>
      <c r="BA564" s="5"/>
      <c r="BC564" s="6"/>
      <c r="BE564" s="6"/>
      <c r="BG564" s="6"/>
      <c r="BH564" s="5"/>
      <c r="BI564" s="5"/>
      <c r="BJ564" s="7"/>
    </row>
    <row r="565" s="1" customFormat="true" ht="14.25" hidden="false" customHeight="false" outlineLevel="0" collapsed="false">
      <c r="G565" s="2"/>
      <c r="M565" s="2"/>
      <c r="Z565" s="3"/>
      <c r="AL565" s="4"/>
      <c r="AM565" s="5"/>
      <c r="AN565" s="5"/>
      <c r="AO565" s="5"/>
      <c r="AP565" s="5"/>
      <c r="AQ565" s="5"/>
      <c r="AR565" s="5"/>
      <c r="AS565" s="6"/>
      <c r="AU565" s="6"/>
      <c r="AW565" s="6"/>
      <c r="AY565" s="5"/>
      <c r="AZ565" s="5"/>
      <c r="BA565" s="5"/>
      <c r="BC565" s="6"/>
      <c r="BE565" s="6"/>
      <c r="BG565" s="6"/>
      <c r="BH565" s="5"/>
      <c r="BI565" s="5"/>
      <c r="BJ565" s="7"/>
    </row>
    <row r="566" s="1" customFormat="true" ht="14.25" hidden="false" customHeight="false" outlineLevel="0" collapsed="false">
      <c r="G566" s="2"/>
      <c r="M566" s="2"/>
      <c r="Z566" s="3"/>
      <c r="AL566" s="4"/>
      <c r="AM566" s="5"/>
      <c r="AN566" s="5"/>
      <c r="AO566" s="5"/>
      <c r="AP566" s="5"/>
      <c r="AQ566" s="5"/>
      <c r="AR566" s="5"/>
      <c r="AS566" s="6"/>
      <c r="AU566" s="6"/>
      <c r="AW566" s="6"/>
      <c r="AY566" s="5"/>
      <c r="AZ566" s="5"/>
      <c r="BA566" s="5"/>
      <c r="BC566" s="6"/>
      <c r="BE566" s="6"/>
      <c r="BG566" s="6"/>
      <c r="BH566" s="5"/>
      <c r="BI566" s="5"/>
      <c r="BJ566" s="7"/>
    </row>
    <row r="567" s="1" customFormat="true" ht="14.25" hidden="false" customHeight="false" outlineLevel="0" collapsed="false">
      <c r="G567" s="2"/>
      <c r="M567" s="2"/>
      <c r="Z567" s="3"/>
      <c r="AL567" s="4"/>
      <c r="AM567" s="5"/>
      <c r="AN567" s="5"/>
      <c r="AO567" s="5"/>
      <c r="AP567" s="5"/>
      <c r="AQ567" s="5"/>
      <c r="AR567" s="5"/>
      <c r="AS567" s="6"/>
      <c r="AU567" s="6"/>
      <c r="AW567" s="6"/>
      <c r="AY567" s="5"/>
      <c r="AZ567" s="5"/>
      <c r="BA567" s="5"/>
      <c r="BC567" s="6"/>
      <c r="BE567" s="6"/>
      <c r="BG567" s="6"/>
      <c r="BH567" s="5"/>
      <c r="BI567" s="5"/>
      <c r="BJ567" s="7"/>
    </row>
    <row r="568" s="1" customFormat="true" ht="14.25" hidden="false" customHeight="false" outlineLevel="0" collapsed="false">
      <c r="G568" s="2"/>
      <c r="M568" s="2"/>
      <c r="Z568" s="3"/>
      <c r="AL568" s="4"/>
      <c r="AM568" s="5"/>
      <c r="AN568" s="5"/>
      <c r="AO568" s="5"/>
      <c r="AP568" s="5"/>
      <c r="AQ568" s="5"/>
      <c r="AR568" s="5"/>
      <c r="AS568" s="6"/>
      <c r="AU568" s="6"/>
      <c r="AW568" s="6"/>
      <c r="AY568" s="5"/>
      <c r="AZ568" s="5"/>
      <c r="BA568" s="5"/>
      <c r="BC568" s="6"/>
      <c r="BE568" s="6"/>
      <c r="BG568" s="6"/>
      <c r="BH568" s="5"/>
      <c r="BI568" s="5"/>
      <c r="BJ568" s="7"/>
    </row>
    <row r="569" s="1" customFormat="true" ht="14.25" hidden="false" customHeight="false" outlineLevel="0" collapsed="false">
      <c r="G569" s="2"/>
      <c r="M569" s="2"/>
      <c r="Z569" s="3"/>
      <c r="AL569" s="4"/>
      <c r="AM569" s="5"/>
      <c r="AN569" s="5"/>
      <c r="AO569" s="5"/>
      <c r="AP569" s="5"/>
      <c r="AQ569" s="5"/>
      <c r="AR569" s="5"/>
      <c r="AS569" s="6"/>
      <c r="AU569" s="6"/>
      <c r="AW569" s="6"/>
      <c r="AY569" s="5"/>
      <c r="AZ569" s="5"/>
      <c r="BA569" s="5"/>
      <c r="BC569" s="6"/>
      <c r="BE569" s="6"/>
      <c r="BG569" s="6"/>
      <c r="BH569" s="5"/>
      <c r="BI569" s="5"/>
      <c r="BJ569" s="7"/>
    </row>
    <row r="570" s="1" customFormat="true" ht="14.25" hidden="false" customHeight="false" outlineLevel="0" collapsed="false">
      <c r="G570" s="2"/>
      <c r="M570" s="2"/>
      <c r="Z570" s="3"/>
      <c r="AL570" s="4"/>
      <c r="AM570" s="5"/>
      <c r="AN570" s="5"/>
      <c r="AO570" s="5"/>
      <c r="AP570" s="5"/>
      <c r="AQ570" s="5"/>
      <c r="AR570" s="5"/>
      <c r="AS570" s="6"/>
      <c r="AU570" s="6"/>
      <c r="AW570" s="6"/>
      <c r="AY570" s="5"/>
      <c r="AZ570" s="5"/>
      <c r="BA570" s="5"/>
      <c r="BC570" s="6"/>
      <c r="BE570" s="6"/>
      <c r="BG570" s="6"/>
      <c r="BH570" s="5"/>
      <c r="BI570" s="5"/>
      <c r="BJ570" s="7"/>
    </row>
    <row r="571" s="1" customFormat="true" ht="14.25" hidden="false" customHeight="false" outlineLevel="0" collapsed="false">
      <c r="G571" s="2"/>
      <c r="M571" s="2"/>
      <c r="Z571" s="3"/>
      <c r="AL571" s="4"/>
      <c r="AM571" s="5"/>
      <c r="AN571" s="5"/>
      <c r="AO571" s="5"/>
      <c r="AP571" s="5"/>
      <c r="AQ571" s="5"/>
      <c r="AR571" s="5"/>
      <c r="AS571" s="6"/>
      <c r="AU571" s="6"/>
      <c r="AW571" s="6"/>
      <c r="AY571" s="5"/>
      <c r="AZ571" s="5"/>
      <c r="BA571" s="5"/>
      <c r="BC571" s="6"/>
      <c r="BE571" s="6"/>
      <c r="BG571" s="6"/>
      <c r="BH571" s="5"/>
      <c r="BI571" s="5"/>
      <c r="BJ571" s="7"/>
    </row>
    <row r="572" s="1" customFormat="true" ht="14.25" hidden="false" customHeight="false" outlineLevel="0" collapsed="false">
      <c r="G572" s="2"/>
      <c r="M572" s="2"/>
      <c r="Z572" s="3"/>
      <c r="AL572" s="4"/>
      <c r="AM572" s="5"/>
      <c r="AN572" s="5"/>
      <c r="AO572" s="5"/>
      <c r="AP572" s="5"/>
      <c r="AQ572" s="5"/>
      <c r="AR572" s="5"/>
      <c r="AS572" s="6"/>
      <c r="AU572" s="6"/>
      <c r="AW572" s="6"/>
      <c r="AY572" s="5"/>
      <c r="AZ572" s="5"/>
      <c r="BA572" s="5"/>
      <c r="BC572" s="6"/>
      <c r="BE572" s="6"/>
      <c r="BG572" s="6"/>
      <c r="BH572" s="5"/>
      <c r="BI572" s="5"/>
      <c r="BJ572" s="7"/>
    </row>
    <row r="573" s="1" customFormat="true" ht="14.25" hidden="false" customHeight="false" outlineLevel="0" collapsed="false">
      <c r="G573" s="2"/>
      <c r="M573" s="2"/>
      <c r="Z573" s="3"/>
      <c r="AL573" s="4"/>
      <c r="AM573" s="5"/>
      <c r="AN573" s="5"/>
      <c r="AO573" s="5"/>
      <c r="AP573" s="5"/>
      <c r="AQ573" s="5"/>
      <c r="AR573" s="5"/>
      <c r="AS573" s="6"/>
      <c r="AU573" s="6"/>
      <c r="AW573" s="6"/>
      <c r="AY573" s="5"/>
      <c r="AZ573" s="5"/>
      <c r="BA573" s="5"/>
      <c r="BC573" s="6"/>
      <c r="BE573" s="6"/>
      <c r="BG573" s="6"/>
      <c r="BH573" s="5"/>
      <c r="BI573" s="5"/>
      <c r="BJ573" s="7"/>
    </row>
    <row r="574" s="1" customFormat="true" ht="14.25" hidden="false" customHeight="false" outlineLevel="0" collapsed="false">
      <c r="G574" s="2"/>
      <c r="M574" s="2"/>
      <c r="Z574" s="3"/>
      <c r="AL574" s="4"/>
      <c r="AM574" s="5"/>
      <c r="AN574" s="5"/>
      <c r="AO574" s="5"/>
      <c r="AP574" s="5"/>
      <c r="AQ574" s="5"/>
      <c r="AR574" s="5"/>
      <c r="AS574" s="6"/>
      <c r="AU574" s="6"/>
      <c r="AW574" s="6"/>
      <c r="AY574" s="5"/>
      <c r="AZ574" s="5"/>
      <c r="BA574" s="5"/>
      <c r="BC574" s="6"/>
      <c r="BE574" s="6"/>
      <c r="BG574" s="6"/>
      <c r="BH574" s="5"/>
      <c r="BI574" s="5"/>
      <c r="BJ574" s="7"/>
    </row>
    <row r="575" s="1" customFormat="true" ht="14.25" hidden="false" customHeight="false" outlineLevel="0" collapsed="false">
      <c r="G575" s="2"/>
      <c r="M575" s="2"/>
      <c r="Z575" s="3"/>
      <c r="AL575" s="4"/>
      <c r="AM575" s="5"/>
      <c r="AN575" s="5"/>
      <c r="AO575" s="5"/>
      <c r="AP575" s="5"/>
      <c r="AQ575" s="5"/>
      <c r="AR575" s="5"/>
      <c r="AS575" s="6"/>
      <c r="AU575" s="6"/>
      <c r="AW575" s="6"/>
      <c r="AY575" s="5"/>
      <c r="AZ575" s="5"/>
      <c r="BA575" s="5"/>
      <c r="BC575" s="6"/>
      <c r="BE575" s="6"/>
      <c r="BG575" s="6"/>
      <c r="BH575" s="5"/>
      <c r="BI575" s="5"/>
      <c r="BJ575" s="7"/>
    </row>
    <row r="576" s="1" customFormat="true" ht="14.25" hidden="false" customHeight="false" outlineLevel="0" collapsed="false">
      <c r="G576" s="2"/>
      <c r="M576" s="2"/>
      <c r="Z576" s="3"/>
      <c r="AL576" s="4"/>
      <c r="AM576" s="5"/>
      <c r="AN576" s="5"/>
      <c r="AO576" s="5"/>
      <c r="AP576" s="5"/>
      <c r="AQ576" s="5"/>
      <c r="AR576" s="5"/>
      <c r="AS576" s="6"/>
      <c r="AU576" s="6"/>
      <c r="AW576" s="6"/>
      <c r="AY576" s="5"/>
      <c r="AZ576" s="5"/>
      <c r="BA576" s="5"/>
      <c r="BC576" s="6"/>
      <c r="BE576" s="6"/>
      <c r="BG576" s="6"/>
      <c r="BH576" s="5"/>
      <c r="BI576" s="5"/>
      <c r="BJ576" s="7"/>
    </row>
    <row r="577" s="1" customFormat="true" ht="14.25" hidden="false" customHeight="false" outlineLevel="0" collapsed="false">
      <c r="G577" s="2"/>
      <c r="M577" s="2"/>
      <c r="Z577" s="3"/>
      <c r="AL577" s="4"/>
      <c r="AM577" s="5"/>
      <c r="AN577" s="5"/>
      <c r="AO577" s="5"/>
      <c r="AP577" s="5"/>
      <c r="AQ577" s="5"/>
      <c r="AR577" s="5"/>
      <c r="AS577" s="6"/>
      <c r="AU577" s="6"/>
      <c r="AW577" s="6"/>
      <c r="AY577" s="5"/>
      <c r="AZ577" s="5"/>
      <c r="BA577" s="5"/>
      <c r="BC577" s="6"/>
      <c r="BE577" s="6"/>
      <c r="BG577" s="6"/>
      <c r="BH577" s="5"/>
      <c r="BI577" s="5"/>
      <c r="BJ577" s="7"/>
    </row>
    <row r="578" s="1" customFormat="true" ht="14.25" hidden="false" customHeight="false" outlineLevel="0" collapsed="false">
      <c r="G578" s="2"/>
      <c r="M578" s="2"/>
      <c r="Z578" s="3"/>
      <c r="AL578" s="4"/>
      <c r="AM578" s="5"/>
      <c r="AN578" s="5"/>
      <c r="AO578" s="5"/>
      <c r="AP578" s="5"/>
      <c r="AQ578" s="5"/>
      <c r="AR578" s="5"/>
      <c r="AS578" s="6"/>
      <c r="AU578" s="6"/>
      <c r="AW578" s="6"/>
      <c r="AY578" s="5"/>
      <c r="AZ578" s="5"/>
      <c r="BA578" s="5"/>
      <c r="BC578" s="6"/>
      <c r="BE578" s="6"/>
      <c r="BG578" s="6"/>
      <c r="BH578" s="5"/>
      <c r="BI578" s="5"/>
      <c r="BJ578" s="7"/>
    </row>
    <row r="579" s="1" customFormat="true" ht="14.25" hidden="false" customHeight="false" outlineLevel="0" collapsed="false">
      <c r="G579" s="2"/>
      <c r="M579" s="2"/>
      <c r="Z579" s="3"/>
      <c r="AL579" s="4"/>
      <c r="AM579" s="5"/>
      <c r="AN579" s="5"/>
      <c r="AO579" s="5"/>
      <c r="AP579" s="5"/>
      <c r="AQ579" s="5"/>
      <c r="AR579" s="5"/>
      <c r="AS579" s="6"/>
      <c r="AU579" s="6"/>
      <c r="AW579" s="6"/>
      <c r="AY579" s="5"/>
      <c r="AZ579" s="5"/>
      <c r="BA579" s="5"/>
      <c r="BC579" s="6"/>
      <c r="BE579" s="6"/>
      <c r="BG579" s="6"/>
      <c r="BH579" s="5"/>
      <c r="BI579" s="5"/>
      <c r="BJ579" s="7"/>
    </row>
    <row r="580" s="1" customFormat="true" ht="14.25" hidden="false" customHeight="false" outlineLevel="0" collapsed="false">
      <c r="G580" s="2"/>
      <c r="M580" s="2"/>
      <c r="Z580" s="3"/>
      <c r="AL580" s="4"/>
      <c r="AM580" s="5"/>
      <c r="AN580" s="5"/>
      <c r="AO580" s="5"/>
      <c r="AP580" s="5"/>
      <c r="AQ580" s="5"/>
      <c r="AR580" s="5"/>
      <c r="AS580" s="6"/>
      <c r="AU580" s="6"/>
      <c r="AW580" s="6"/>
      <c r="AY580" s="5"/>
      <c r="AZ580" s="5"/>
      <c r="BA580" s="5"/>
      <c r="BC580" s="6"/>
      <c r="BE580" s="6"/>
      <c r="BG580" s="6"/>
      <c r="BH580" s="5"/>
      <c r="BI580" s="5"/>
      <c r="BJ580" s="7"/>
    </row>
    <row r="581" s="1" customFormat="true" ht="14.25" hidden="false" customHeight="false" outlineLevel="0" collapsed="false">
      <c r="G581" s="2"/>
      <c r="M581" s="2"/>
      <c r="Z581" s="3"/>
      <c r="AL581" s="4"/>
      <c r="AM581" s="5"/>
      <c r="AN581" s="5"/>
      <c r="AO581" s="5"/>
      <c r="AP581" s="5"/>
      <c r="AQ581" s="5"/>
      <c r="AR581" s="5"/>
      <c r="AS581" s="6"/>
      <c r="AU581" s="6"/>
      <c r="AW581" s="6"/>
      <c r="AY581" s="5"/>
      <c r="AZ581" s="5"/>
      <c r="BA581" s="5"/>
      <c r="BC581" s="6"/>
      <c r="BE581" s="6"/>
      <c r="BG581" s="6"/>
      <c r="BH581" s="5"/>
      <c r="BI581" s="5"/>
      <c r="BJ581" s="7"/>
    </row>
    <row r="582" s="1" customFormat="true" ht="14.25" hidden="false" customHeight="false" outlineLevel="0" collapsed="false">
      <c r="G582" s="2"/>
      <c r="M582" s="2"/>
      <c r="Z582" s="3"/>
      <c r="AL582" s="4"/>
      <c r="AM582" s="5"/>
      <c r="AN582" s="5"/>
      <c r="AO582" s="5"/>
      <c r="AP582" s="5"/>
      <c r="AQ582" s="5"/>
      <c r="AR582" s="5"/>
      <c r="AS582" s="6"/>
      <c r="AU582" s="6"/>
      <c r="AW582" s="6"/>
      <c r="AY582" s="5"/>
      <c r="AZ582" s="5"/>
      <c r="BA582" s="5"/>
      <c r="BC582" s="6"/>
      <c r="BE582" s="6"/>
      <c r="BG582" s="6"/>
      <c r="BH582" s="5"/>
      <c r="BI582" s="5"/>
      <c r="BJ582" s="7"/>
    </row>
    <row r="583" s="1" customFormat="true" ht="14.25" hidden="false" customHeight="false" outlineLevel="0" collapsed="false">
      <c r="G583" s="2"/>
      <c r="M583" s="2"/>
      <c r="Z583" s="3"/>
      <c r="AL583" s="4"/>
      <c r="AM583" s="5"/>
      <c r="AN583" s="5"/>
      <c r="AO583" s="5"/>
      <c r="AP583" s="5"/>
      <c r="AQ583" s="5"/>
      <c r="AR583" s="5"/>
      <c r="AS583" s="6"/>
      <c r="AU583" s="6"/>
      <c r="AW583" s="6"/>
      <c r="AY583" s="5"/>
      <c r="AZ583" s="5"/>
      <c r="BA583" s="5"/>
      <c r="BC583" s="6"/>
      <c r="BE583" s="6"/>
      <c r="BG583" s="6"/>
      <c r="BH583" s="5"/>
      <c r="BI583" s="5"/>
      <c r="BJ583" s="7"/>
    </row>
    <row r="584" s="1" customFormat="true" ht="14.25" hidden="false" customHeight="false" outlineLevel="0" collapsed="false">
      <c r="G584" s="2"/>
      <c r="M584" s="2"/>
      <c r="Z584" s="3"/>
      <c r="AL584" s="4"/>
      <c r="AM584" s="5"/>
      <c r="AN584" s="5"/>
      <c r="AO584" s="5"/>
      <c r="AP584" s="5"/>
      <c r="AQ584" s="5"/>
      <c r="AR584" s="5"/>
      <c r="AS584" s="6"/>
      <c r="AU584" s="6"/>
      <c r="AW584" s="6"/>
      <c r="AY584" s="5"/>
      <c r="AZ584" s="5"/>
      <c r="BA584" s="5"/>
      <c r="BC584" s="6"/>
      <c r="BE584" s="6"/>
      <c r="BG584" s="6"/>
      <c r="BH584" s="5"/>
      <c r="BI584" s="5"/>
      <c r="BJ584" s="7"/>
    </row>
    <row r="585" s="1" customFormat="true" ht="14.25" hidden="false" customHeight="false" outlineLevel="0" collapsed="false">
      <c r="G585" s="2"/>
      <c r="M585" s="2"/>
      <c r="Z585" s="3"/>
      <c r="AL585" s="4"/>
      <c r="AM585" s="5"/>
      <c r="AN585" s="5"/>
      <c r="AO585" s="5"/>
      <c r="AP585" s="5"/>
      <c r="AQ585" s="5"/>
      <c r="AR585" s="5"/>
      <c r="AS585" s="6"/>
      <c r="AU585" s="6"/>
      <c r="AW585" s="6"/>
      <c r="AY585" s="5"/>
      <c r="AZ585" s="5"/>
      <c r="BA585" s="5"/>
      <c r="BC585" s="6"/>
      <c r="BE585" s="6"/>
      <c r="BG585" s="6"/>
      <c r="BH585" s="5"/>
      <c r="BI585" s="5"/>
      <c r="BJ585" s="7"/>
    </row>
    <row r="586" s="1" customFormat="true" ht="14.25" hidden="false" customHeight="false" outlineLevel="0" collapsed="false">
      <c r="G586" s="2"/>
      <c r="M586" s="2"/>
      <c r="Z586" s="3"/>
      <c r="AL586" s="4"/>
      <c r="AM586" s="5"/>
      <c r="AN586" s="5"/>
      <c r="AO586" s="5"/>
      <c r="AP586" s="5"/>
      <c r="AQ586" s="5"/>
      <c r="AR586" s="5"/>
      <c r="AS586" s="6"/>
      <c r="AU586" s="6"/>
      <c r="AW586" s="6"/>
      <c r="AY586" s="5"/>
      <c r="AZ586" s="5"/>
      <c r="BA586" s="5"/>
      <c r="BC586" s="6"/>
      <c r="BE586" s="6"/>
      <c r="BG586" s="6"/>
      <c r="BH586" s="5"/>
      <c r="BI586" s="5"/>
      <c r="BJ586" s="7"/>
    </row>
    <row r="587" s="1" customFormat="true" ht="14.25" hidden="false" customHeight="false" outlineLevel="0" collapsed="false">
      <c r="G587" s="2"/>
      <c r="M587" s="2"/>
      <c r="Z587" s="3"/>
      <c r="AL587" s="4"/>
      <c r="AM587" s="5"/>
      <c r="AN587" s="5"/>
      <c r="AO587" s="5"/>
      <c r="AP587" s="5"/>
      <c r="AQ587" s="5"/>
      <c r="AR587" s="5"/>
      <c r="AS587" s="6"/>
      <c r="AU587" s="6"/>
      <c r="AW587" s="6"/>
      <c r="AY587" s="5"/>
      <c r="AZ587" s="5"/>
      <c r="BA587" s="5"/>
      <c r="BC587" s="6"/>
      <c r="BE587" s="6"/>
      <c r="BG587" s="6"/>
      <c r="BH587" s="5"/>
      <c r="BI587" s="5"/>
      <c r="BJ587" s="7"/>
    </row>
    <row r="588" s="1" customFormat="true" ht="14.25" hidden="false" customHeight="false" outlineLevel="0" collapsed="false">
      <c r="G588" s="2"/>
      <c r="M588" s="2"/>
      <c r="Z588" s="3"/>
      <c r="AL588" s="4"/>
      <c r="AM588" s="5"/>
      <c r="AN588" s="5"/>
      <c r="AO588" s="5"/>
      <c r="AP588" s="5"/>
      <c r="AQ588" s="5"/>
      <c r="AR588" s="5"/>
      <c r="AS588" s="6"/>
      <c r="AU588" s="6"/>
      <c r="AW588" s="6"/>
      <c r="AY588" s="5"/>
      <c r="AZ588" s="5"/>
      <c r="BA588" s="5"/>
      <c r="BC588" s="6"/>
      <c r="BE588" s="6"/>
      <c r="BG588" s="6"/>
      <c r="BH588" s="5"/>
      <c r="BI588" s="5"/>
      <c r="BJ588" s="7"/>
    </row>
    <row r="589" s="1" customFormat="true" ht="14.25" hidden="false" customHeight="false" outlineLevel="0" collapsed="false">
      <c r="G589" s="2"/>
      <c r="M589" s="2"/>
      <c r="Z589" s="3"/>
      <c r="AL589" s="4"/>
      <c r="AM589" s="5"/>
      <c r="AN589" s="5"/>
      <c r="AO589" s="5"/>
      <c r="AP589" s="5"/>
      <c r="AQ589" s="5"/>
      <c r="AR589" s="5"/>
      <c r="AS589" s="6"/>
      <c r="AU589" s="6"/>
      <c r="AW589" s="6"/>
      <c r="AY589" s="5"/>
      <c r="AZ589" s="5"/>
      <c r="BA589" s="5"/>
      <c r="BC589" s="6"/>
      <c r="BE589" s="6"/>
      <c r="BG589" s="6"/>
      <c r="BH589" s="5"/>
      <c r="BI589" s="5"/>
      <c r="BJ589" s="7"/>
    </row>
    <row r="590" s="1" customFormat="true" ht="14.25" hidden="false" customHeight="false" outlineLevel="0" collapsed="false">
      <c r="G590" s="2"/>
      <c r="M590" s="2"/>
      <c r="Z590" s="3"/>
      <c r="AL590" s="4"/>
      <c r="AM590" s="5"/>
      <c r="AN590" s="5"/>
      <c r="AO590" s="5"/>
      <c r="AP590" s="5"/>
      <c r="AQ590" s="5"/>
      <c r="AR590" s="5"/>
      <c r="AS590" s="6"/>
      <c r="AU590" s="6"/>
      <c r="AW590" s="6"/>
      <c r="AY590" s="5"/>
      <c r="AZ590" s="5"/>
      <c r="BA590" s="5"/>
      <c r="BC590" s="6"/>
      <c r="BE590" s="6"/>
      <c r="BG590" s="6"/>
      <c r="BH590" s="5"/>
      <c r="BI590" s="5"/>
      <c r="BJ590" s="7"/>
    </row>
    <row r="591" s="1" customFormat="true" ht="14.25" hidden="false" customHeight="false" outlineLevel="0" collapsed="false">
      <c r="G591" s="2"/>
      <c r="M591" s="2"/>
      <c r="Z591" s="3"/>
      <c r="AL591" s="4"/>
      <c r="AM591" s="5"/>
      <c r="AN591" s="5"/>
      <c r="AO591" s="5"/>
      <c r="AP591" s="5"/>
      <c r="AQ591" s="5"/>
      <c r="AR591" s="5"/>
      <c r="AS591" s="6"/>
      <c r="AU591" s="6"/>
      <c r="AW591" s="6"/>
      <c r="AY591" s="5"/>
      <c r="AZ591" s="5"/>
      <c r="BA591" s="5"/>
      <c r="BC591" s="6"/>
      <c r="BE591" s="6"/>
      <c r="BG591" s="6"/>
      <c r="BH591" s="5"/>
      <c r="BI591" s="5"/>
      <c r="BJ591" s="7"/>
    </row>
    <row r="592" s="1" customFormat="true" ht="14.25" hidden="false" customHeight="false" outlineLevel="0" collapsed="false">
      <c r="G592" s="2"/>
      <c r="M592" s="2"/>
      <c r="Z592" s="3"/>
      <c r="AL592" s="4"/>
      <c r="AM592" s="5"/>
      <c r="AN592" s="5"/>
      <c r="AO592" s="5"/>
      <c r="AP592" s="5"/>
      <c r="AQ592" s="5"/>
      <c r="AR592" s="5"/>
      <c r="AS592" s="6"/>
      <c r="AU592" s="6"/>
      <c r="AW592" s="6"/>
      <c r="AY592" s="5"/>
      <c r="AZ592" s="5"/>
      <c r="BA592" s="5"/>
      <c r="BC592" s="6"/>
      <c r="BE592" s="6"/>
      <c r="BG592" s="6"/>
      <c r="BH592" s="5"/>
      <c r="BI592" s="5"/>
      <c r="BJ592" s="7"/>
    </row>
    <row r="593" s="1" customFormat="true" ht="14.25" hidden="false" customHeight="false" outlineLevel="0" collapsed="false">
      <c r="G593" s="2"/>
      <c r="M593" s="2"/>
      <c r="Z593" s="3"/>
      <c r="AL593" s="4"/>
      <c r="AM593" s="5"/>
      <c r="AN593" s="5"/>
      <c r="AO593" s="5"/>
      <c r="AP593" s="5"/>
      <c r="AQ593" s="5"/>
      <c r="AR593" s="5"/>
      <c r="AS593" s="6"/>
      <c r="AU593" s="6"/>
      <c r="AW593" s="6"/>
      <c r="AY593" s="5"/>
      <c r="AZ593" s="5"/>
      <c r="BA593" s="5"/>
      <c r="BC593" s="6"/>
      <c r="BE593" s="6"/>
      <c r="BG593" s="6"/>
      <c r="BH593" s="5"/>
      <c r="BI593" s="5"/>
      <c r="BJ593" s="7"/>
    </row>
    <row r="594" s="1" customFormat="true" ht="14.25" hidden="false" customHeight="false" outlineLevel="0" collapsed="false">
      <c r="G594" s="2"/>
      <c r="M594" s="2"/>
      <c r="Z594" s="3"/>
      <c r="AL594" s="4"/>
      <c r="AM594" s="5"/>
      <c r="AN594" s="5"/>
      <c r="AO594" s="5"/>
      <c r="AP594" s="5"/>
      <c r="AQ594" s="5"/>
      <c r="AR594" s="5"/>
      <c r="AS594" s="6"/>
      <c r="AU594" s="6"/>
      <c r="AW594" s="6"/>
      <c r="AY594" s="5"/>
      <c r="AZ594" s="5"/>
      <c r="BA594" s="5"/>
      <c r="BC594" s="6"/>
      <c r="BE594" s="6"/>
      <c r="BG594" s="6"/>
      <c r="BH594" s="5"/>
      <c r="BI594" s="5"/>
      <c r="BJ594" s="7"/>
    </row>
    <row r="595" s="1" customFormat="true" ht="14.25" hidden="false" customHeight="false" outlineLevel="0" collapsed="false">
      <c r="G595" s="2"/>
      <c r="M595" s="2"/>
      <c r="Z595" s="3"/>
      <c r="AL595" s="4"/>
      <c r="AM595" s="5"/>
      <c r="AN595" s="5"/>
      <c r="AO595" s="5"/>
      <c r="AP595" s="5"/>
      <c r="AQ595" s="5"/>
      <c r="AR595" s="5"/>
      <c r="AS595" s="6"/>
      <c r="AU595" s="6"/>
      <c r="AW595" s="6"/>
      <c r="AY595" s="5"/>
      <c r="AZ595" s="5"/>
      <c r="BA595" s="5"/>
      <c r="BC595" s="6"/>
      <c r="BE595" s="6"/>
      <c r="BG595" s="6"/>
      <c r="BH595" s="5"/>
      <c r="BI595" s="5"/>
      <c r="BJ595" s="7"/>
    </row>
    <row r="596" s="1" customFormat="true" ht="14.25" hidden="false" customHeight="false" outlineLevel="0" collapsed="false">
      <c r="G596" s="2"/>
      <c r="M596" s="2"/>
      <c r="Z596" s="3"/>
      <c r="AL596" s="4"/>
      <c r="AM596" s="5"/>
      <c r="AN596" s="5"/>
      <c r="AO596" s="5"/>
      <c r="AP596" s="5"/>
      <c r="AQ596" s="5"/>
      <c r="AR596" s="5"/>
      <c r="AS596" s="6"/>
      <c r="AU596" s="6"/>
      <c r="AW596" s="6"/>
      <c r="AY596" s="5"/>
      <c r="AZ596" s="5"/>
      <c r="BA596" s="5"/>
      <c r="BC596" s="6"/>
      <c r="BE596" s="6"/>
      <c r="BG596" s="6"/>
      <c r="BH596" s="5"/>
      <c r="BI596" s="5"/>
      <c r="BJ596" s="7"/>
    </row>
    <row r="597" s="1" customFormat="true" ht="14.25" hidden="false" customHeight="false" outlineLevel="0" collapsed="false">
      <c r="G597" s="2"/>
      <c r="M597" s="2"/>
      <c r="Z597" s="3"/>
      <c r="AL597" s="4"/>
      <c r="AM597" s="5"/>
      <c r="AN597" s="5"/>
      <c r="AO597" s="5"/>
      <c r="AP597" s="5"/>
      <c r="AQ597" s="5"/>
      <c r="AR597" s="5"/>
      <c r="AS597" s="6"/>
      <c r="AU597" s="6"/>
      <c r="AW597" s="6"/>
      <c r="AY597" s="5"/>
      <c r="AZ597" s="5"/>
      <c r="BA597" s="5"/>
      <c r="BC597" s="6"/>
      <c r="BE597" s="6"/>
      <c r="BG597" s="6"/>
      <c r="BH597" s="5"/>
      <c r="BI597" s="5"/>
      <c r="BJ597" s="7"/>
    </row>
    <row r="598" s="1" customFormat="true" ht="14.25" hidden="false" customHeight="false" outlineLevel="0" collapsed="false">
      <c r="G598" s="2"/>
      <c r="M598" s="2"/>
      <c r="Z598" s="3"/>
      <c r="AL598" s="4"/>
      <c r="AM598" s="5"/>
      <c r="AN598" s="5"/>
      <c r="AO598" s="5"/>
      <c r="AP598" s="5"/>
      <c r="AQ598" s="5"/>
      <c r="AR598" s="5"/>
      <c r="AS598" s="6"/>
      <c r="AU598" s="6"/>
      <c r="AW598" s="6"/>
      <c r="AY598" s="5"/>
      <c r="AZ598" s="5"/>
      <c r="BA598" s="5"/>
      <c r="BC598" s="6"/>
      <c r="BE598" s="6"/>
      <c r="BG598" s="6"/>
      <c r="BH598" s="5"/>
      <c r="BI598" s="5"/>
      <c r="BJ598" s="7"/>
    </row>
    <row r="599" s="1" customFormat="true" ht="14.25" hidden="false" customHeight="false" outlineLevel="0" collapsed="false">
      <c r="G599" s="2"/>
      <c r="M599" s="2"/>
      <c r="Z599" s="3"/>
      <c r="AL599" s="4"/>
      <c r="AM599" s="5"/>
      <c r="AN599" s="5"/>
      <c r="AO599" s="5"/>
      <c r="AP599" s="5"/>
      <c r="AQ599" s="5"/>
      <c r="AR599" s="5"/>
      <c r="AS599" s="6"/>
      <c r="AU599" s="6"/>
      <c r="AW599" s="6"/>
      <c r="AY599" s="5"/>
      <c r="AZ599" s="5"/>
      <c r="BA599" s="5"/>
      <c r="BC599" s="6"/>
      <c r="BE599" s="6"/>
      <c r="BG599" s="6"/>
      <c r="BH599" s="5"/>
      <c r="BI599" s="5"/>
      <c r="BJ599" s="7"/>
    </row>
    <row r="600" s="1" customFormat="true" ht="14.25" hidden="false" customHeight="false" outlineLevel="0" collapsed="false">
      <c r="G600" s="2"/>
      <c r="M600" s="2"/>
      <c r="Z600" s="3"/>
      <c r="AL600" s="4"/>
      <c r="AM600" s="5"/>
      <c r="AN600" s="5"/>
      <c r="AO600" s="5"/>
      <c r="AP600" s="5"/>
      <c r="AQ600" s="5"/>
      <c r="AR600" s="5"/>
      <c r="AS600" s="6"/>
      <c r="AU600" s="6"/>
      <c r="AW600" s="6"/>
      <c r="AY600" s="5"/>
      <c r="AZ600" s="5"/>
      <c r="BA600" s="5"/>
      <c r="BC600" s="6"/>
      <c r="BE600" s="6"/>
      <c r="BG600" s="6"/>
      <c r="BH600" s="5"/>
      <c r="BI600" s="5"/>
      <c r="BJ600" s="7"/>
    </row>
    <row r="601" s="1" customFormat="true" ht="14.25" hidden="false" customHeight="false" outlineLevel="0" collapsed="false">
      <c r="G601" s="2"/>
      <c r="M601" s="2"/>
      <c r="Z601" s="3"/>
      <c r="AL601" s="4"/>
      <c r="AM601" s="5"/>
      <c r="AN601" s="5"/>
      <c r="AO601" s="5"/>
      <c r="AP601" s="5"/>
      <c r="AQ601" s="5"/>
      <c r="AR601" s="5"/>
      <c r="AS601" s="6"/>
      <c r="AU601" s="6"/>
      <c r="AW601" s="6"/>
      <c r="AY601" s="5"/>
      <c r="AZ601" s="5"/>
      <c r="BA601" s="5"/>
      <c r="BC601" s="6"/>
      <c r="BE601" s="6"/>
      <c r="BG601" s="6"/>
      <c r="BH601" s="5"/>
      <c r="BI601" s="5"/>
      <c r="BJ601" s="7"/>
    </row>
    <row r="602" s="1" customFormat="true" ht="14.25" hidden="false" customHeight="false" outlineLevel="0" collapsed="false">
      <c r="G602" s="2"/>
      <c r="M602" s="2"/>
      <c r="Z602" s="3"/>
      <c r="AL602" s="4"/>
      <c r="AM602" s="5"/>
      <c r="AN602" s="5"/>
      <c r="AO602" s="5"/>
      <c r="AP602" s="5"/>
      <c r="AQ602" s="5"/>
      <c r="AR602" s="5"/>
      <c r="AS602" s="6"/>
      <c r="AU602" s="6"/>
      <c r="AW602" s="6"/>
      <c r="AY602" s="5"/>
      <c r="AZ602" s="5"/>
      <c r="BA602" s="5"/>
      <c r="BC602" s="6"/>
      <c r="BE602" s="6"/>
      <c r="BG602" s="6"/>
      <c r="BH602" s="5"/>
      <c r="BI602" s="5"/>
      <c r="BJ602" s="7"/>
    </row>
    <row r="603" s="1" customFormat="true" ht="14.25" hidden="false" customHeight="false" outlineLevel="0" collapsed="false">
      <c r="G603" s="2"/>
      <c r="M603" s="2"/>
      <c r="Z603" s="3"/>
      <c r="AL603" s="4"/>
      <c r="AM603" s="5"/>
      <c r="AN603" s="5"/>
      <c r="AO603" s="5"/>
      <c r="AP603" s="5"/>
      <c r="AQ603" s="5"/>
      <c r="AR603" s="5"/>
      <c r="AS603" s="6"/>
      <c r="AU603" s="6"/>
      <c r="AW603" s="6"/>
      <c r="AY603" s="5"/>
      <c r="AZ603" s="5"/>
      <c r="BA603" s="5"/>
      <c r="BC603" s="6"/>
      <c r="BE603" s="6"/>
      <c r="BG603" s="6"/>
      <c r="BH603" s="5"/>
      <c r="BI603" s="5"/>
      <c r="BJ603" s="7"/>
    </row>
    <row r="604" s="1" customFormat="true" ht="14.25" hidden="false" customHeight="false" outlineLevel="0" collapsed="false">
      <c r="G604" s="2"/>
      <c r="M604" s="2"/>
      <c r="Z604" s="3"/>
      <c r="AL604" s="4"/>
      <c r="AM604" s="5"/>
      <c r="AN604" s="5"/>
      <c r="AO604" s="5"/>
      <c r="AP604" s="5"/>
      <c r="AQ604" s="5"/>
      <c r="AR604" s="5"/>
      <c r="AS604" s="6"/>
      <c r="AU604" s="6"/>
      <c r="AW604" s="6"/>
      <c r="AY604" s="5"/>
      <c r="AZ604" s="5"/>
      <c r="BA604" s="5"/>
      <c r="BC604" s="6"/>
      <c r="BE604" s="6"/>
      <c r="BG604" s="6"/>
      <c r="BH604" s="5"/>
      <c r="BI604" s="5"/>
      <c r="BJ604" s="7"/>
    </row>
    <row r="605" s="1" customFormat="true" ht="14.25" hidden="false" customHeight="false" outlineLevel="0" collapsed="false">
      <c r="G605" s="2"/>
      <c r="M605" s="2"/>
      <c r="Z605" s="3"/>
      <c r="AL605" s="4"/>
      <c r="AM605" s="5"/>
      <c r="AN605" s="5"/>
      <c r="AO605" s="5"/>
      <c r="AP605" s="5"/>
      <c r="AQ605" s="5"/>
      <c r="AR605" s="5"/>
      <c r="AS605" s="6"/>
      <c r="AU605" s="6"/>
      <c r="AW605" s="6"/>
      <c r="AY605" s="5"/>
      <c r="AZ605" s="5"/>
      <c r="BA605" s="5"/>
      <c r="BC605" s="6"/>
      <c r="BE605" s="6"/>
      <c r="BG605" s="6"/>
      <c r="BH605" s="5"/>
      <c r="BI605" s="5"/>
      <c r="BJ605" s="7"/>
    </row>
    <row r="606" s="1" customFormat="true" ht="14.25" hidden="false" customHeight="false" outlineLevel="0" collapsed="false">
      <c r="G606" s="2"/>
      <c r="M606" s="2"/>
      <c r="Z606" s="3"/>
      <c r="AL606" s="4"/>
      <c r="AM606" s="5"/>
      <c r="AN606" s="5"/>
      <c r="AO606" s="5"/>
      <c r="AP606" s="5"/>
      <c r="AQ606" s="5"/>
      <c r="AR606" s="5"/>
      <c r="AS606" s="6"/>
      <c r="AU606" s="6"/>
      <c r="AW606" s="6"/>
      <c r="AY606" s="5"/>
      <c r="AZ606" s="5"/>
      <c r="BA606" s="5"/>
      <c r="BC606" s="6"/>
      <c r="BE606" s="6"/>
      <c r="BG606" s="6"/>
      <c r="BH606" s="5"/>
      <c r="BI606" s="5"/>
      <c r="BJ606" s="7"/>
    </row>
    <row r="607" s="1" customFormat="true" ht="14.25" hidden="false" customHeight="false" outlineLevel="0" collapsed="false">
      <c r="G607" s="2"/>
      <c r="M607" s="2"/>
      <c r="Z607" s="3"/>
      <c r="AL607" s="4"/>
      <c r="AM607" s="5"/>
      <c r="AN607" s="5"/>
      <c r="AO607" s="5"/>
      <c r="AP607" s="5"/>
      <c r="AQ607" s="5"/>
      <c r="AR607" s="5"/>
      <c r="AS607" s="6"/>
      <c r="AU607" s="6"/>
      <c r="AW607" s="6"/>
      <c r="AY607" s="5"/>
      <c r="AZ607" s="5"/>
      <c r="BA607" s="5"/>
      <c r="BC607" s="6"/>
      <c r="BE607" s="6"/>
      <c r="BG607" s="6"/>
      <c r="BH607" s="5"/>
      <c r="BI607" s="5"/>
      <c r="BJ607" s="7"/>
    </row>
    <row r="608" s="1" customFormat="true" ht="14.25" hidden="false" customHeight="false" outlineLevel="0" collapsed="false">
      <c r="G608" s="2"/>
      <c r="M608" s="2"/>
      <c r="Z608" s="3"/>
      <c r="AL608" s="4"/>
      <c r="AM608" s="5"/>
      <c r="AN608" s="5"/>
      <c r="AO608" s="5"/>
      <c r="AP608" s="5"/>
      <c r="AQ608" s="5"/>
      <c r="AR608" s="5"/>
      <c r="AS608" s="6"/>
      <c r="AU608" s="6"/>
      <c r="AW608" s="6"/>
      <c r="AY608" s="5"/>
      <c r="AZ608" s="5"/>
      <c r="BA608" s="5"/>
      <c r="BC608" s="6"/>
      <c r="BE608" s="6"/>
      <c r="BG608" s="6"/>
      <c r="BH608" s="5"/>
      <c r="BI608" s="5"/>
      <c r="BJ608" s="7"/>
    </row>
    <row r="609" s="1" customFormat="true" ht="14.25" hidden="false" customHeight="false" outlineLevel="0" collapsed="false">
      <c r="G609" s="2"/>
      <c r="M609" s="2"/>
      <c r="Z609" s="3"/>
      <c r="AL609" s="4"/>
      <c r="AM609" s="5"/>
      <c r="AN609" s="5"/>
      <c r="AO609" s="5"/>
      <c r="AP609" s="5"/>
      <c r="AQ609" s="5"/>
      <c r="AR609" s="5"/>
      <c r="AS609" s="6"/>
      <c r="AU609" s="6"/>
      <c r="AW609" s="6"/>
      <c r="AY609" s="5"/>
      <c r="AZ609" s="5"/>
      <c r="BA609" s="5"/>
      <c r="BC609" s="6"/>
      <c r="BE609" s="6"/>
      <c r="BG609" s="6"/>
      <c r="BH609" s="5"/>
      <c r="BI609" s="5"/>
      <c r="BJ609" s="7"/>
    </row>
    <row r="610" s="1" customFormat="true" ht="14.25" hidden="false" customHeight="false" outlineLevel="0" collapsed="false">
      <c r="G610" s="2"/>
      <c r="M610" s="2"/>
      <c r="Z610" s="3"/>
      <c r="AL610" s="4"/>
      <c r="AM610" s="5"/>
      <c r="AN610" s="5"/>
      <c r="AO610" s="5"/>
      <c r="AP610" s="5"/>
      <c r="AQ610" s="5"/>
      <c r="AR610" s="5"/>
      <c r="AS610" s="6"/>
      <c r="AU610" s="6"/>
      <c r="AW610" s="6"/>
      <c r="AY610" s="5"/>
      <c r="AZ610" s="5"/>
      <c r="BA610" s="5"/>
      <c r="BC610" s="6"/>
      <c r="BE610" s="6"/>
      <c r="BG610" s="6"/>
      <c r="BH610" s="5"/>
      <c r="BI610" s="5"/>
      <c r="BJ610" s="7"/>
    </row>
    <row r="611" s="1" customFormat="true" ht="14.25" hidden="false" customHeight="false" outlineLevel="0" collapsed="false">
      <c r="G611" s="2"/>
      <c r="M611" s="2"/>
      <c r="Z611" s="3"/>
      <c r="AL611" s="4"/>
      <c r="AM611" s="5"/>
      <c r="AN611" s="5"/>
      <c r="AO611" s="5"/>
      <c r="AP611" s="5"/>
      <c r="AQ611" s="5"/>
      <c r="AR611" s="5"/>
      <c r="AS611" s="6"/>
      <c r="AU611" s="6"/>
      <c r="AW611" s="6"/>
      <c r="AY611" s="5"/>
      <c r="AZ611" s="5"/>
      <c r="BA611" s="5"/>
      <c r="BC611" s="6"/>
      <c r="BE611" s="6"/>
      <c r="BG611" s="6"/>
      <c r="BH611" s="5"/>
      <c r="BI611" s="5"/>
      <c r="BJ611" s="7"/>
    </row>
    <row r="612" s="1" customFormat="true" ht="14.25" hidden="false" customHeight="false" outlineLevel="0" collapsed="false">
      <c r="G612" s="2"/>
      <c r="M612" s="2"/>
      <c r="Z612" s="3"/>
      <c r="AL612" s="4"/>
      <c r="AM612" s="5"/>
      <c r="AN612" s="5"/>
      <c r="AO612" s="5"/>
      <c r="AP612" s="5"/>
      <c r="AQ612" s="5"/>
      <c r="AR612" s="5"/>
      <c r="AS612" s="6"/>
      <c r="AU612" s="6"/>
      <c r="AW612" s="6"/>
      <c r="AY612" s="5"/>
      <c r="AZ612" s="5"/>
      <c r="BA612" s="5"/>
      <c r="BC612" s="6"/>
      <c r="BE612" s="6"/>
      <c r="BG612" s="6"/>
      <c r="BH612" s="5"/>
      <c r="BI612" s="5"/>
      <c r="BJ612" s="7"/>
    </row>
    <row r="613" s="1" customFormat="true" ht="14.25" hidden="false" customHeight="false" outlineLevel="0" collapsed="false">
      <c r="G613" s="2"/>
      <c r="M613" s="2"/>
      <c r="Z613" s="3"/>
      <c r="AL613" s="4"/>
      <c r="AM613" s="5"/>
      <c r="AN613" s="5"/>
      <c r="AO613" s="5"/>
      <c r="AP613" s="5"/>
      <c r="AQ613" s="5"/>
      <c r="AR613" s="5"/>
      <c r="AS613" s="6"/>
      <c r="AU613" s="6"/>
      <c r="AW613" s="6"/>
      <c r="AY613" s="5"/>
      <c r="AZ613" s="5"/>
      <c r="BA613" s="5"/>
      <c r="BC613" s="6"/>
      <c r="BE613" s="6"/>
      <c r="BG613" s="6"/>
      <c r="BH613" s="5"/>
      <c r="BI613" s="5"/>
      <c r="BJ613" s="7"/>
    </row>
    <row r="614" s="1" customFormat="true" ht="14.25" hidden="false" customHeight="false" outlineLevel="0" collapsed="false">
      <c r="G614" s="2"/>
      <c r="M614" s="2"/>
      <c r="Z614" s="3"/>
      <c r="AL614" s="4"/>
      <c r="AM614" s="5"/>
      <c r="AN614" s="5"/>
      <c r="AO614" s="5"/>
      <c r="AP614" s="5"/>
      <c r="AQ614" s="5"/>
      <c r="AR614" s="5"/>
      <c r="AS614" s="6"/>
      <c r="AU614" s="6"/>
      <c r="AW614" s="6"/>
      <c r="AY614" s="5"/>
      <c r="AZ614" s="5"/>
      <c r="BA614" s="5"/>
      <c r="BC614" s="6"/>
      <c r="BE614" s="6"/>
      <c r="BG614" s="6"/>
      <c r="BH614" s="5"/>
      <c r="BI614" s="5"/>
      <c r="BJ614" s="7"/>
    </row>
    <row r="615" s="1" customFormat="true" ht="14.25" hidden="false" customHeight="false" outlineLevel="0" collapsed="false">
      <c r="G615" s="2"/>
      <c r="M615" s="2"/>
      <c r="Z615" s="3"/>
      <c r="AL615" s="4"/>
      <c r="AM615" s="5"/>
      <c r="AN615" s="5"/>
      <c r="AO615" s="5"/>
      <c r="AP615" s="5"/>
      <c r="AQ615" s="5"/>
      <c r="AR615" s="5"/>
      <c r="AS615" s="6"/>
      <c r="AU615" s="6"/>
      <c r="AW615" s="6"/>
      <c r="AY615" s="5"/>
      <c r="AZ615" s="5"/>
      <c r="BA615" s="5"/>
      <c r="BC615" s="6"/>
      <c r="BE615" s="6"/>
      <c r="BG615" s="6"/>
      <c r="BH615" s="5"/>
      <c r="BI615" s="5"/>
      <c r="BJ615" s="7"/>
    </row>
    <row r="616" s="1" customFormat="true" ht="14.25" hidden="false" customHeight="false" outlineLevel="0" collapsed="false">
      <c r="G616" s="2"/>
      <c r="M616" s="2"/>
      <c r="Z616" s="3"/>
      <c r="AL616" s="4"/>
      <c r="AM616" s="5"/>
      <c r="AN616" s="5"/>
      <c r="AO616" s="5"/>
      <c r="AP616" s="5"/>
      <c r="AQ616" s="5"/>
      <c r="AR616" s="5"/>
      <c r="AS616" s="6"/>
      <c r="AU616" s="6"/>
      <c r="AW616" s="6"/>
      <c r="AY616" s="5"/>
      <c r="AZ616" s="5"/>
      <c r="BA616" s="5"/>
      <c r="BC616" s="6"/>
      <c r="BE616" s="6"/>
      <c r="BG616" s="6"/>
      <c r="BH616" s="5"/>
      <c r="BI616" s="5"/>
      <c r="BJ616" s="7"/>
    </row>
    <row r="617" s="1" customFormat="true" ht="14.25" hidden="false" customHeight="false" outlineLevel="0" collapsed="false">
      <c r="G617" s="2"/>
      <c r="M617" s="2"/>
      <c r="Z617" s="3"/>
      <c r="AL617" s="4"/>
      <c r="AM617" s="5"/>
      <c r="AN617" s="5"/>
      <c r="AO617" s="5"/>
      <c r="AP617" s="5"/>
      <c r="AQ617" s="5"/>
      <c r="AR617" s="5"/>
      <c r="AS617" s="6"/>
      <c r="AU617" s="6"/>
      <c r="AW617" s="6"/>
      <c r="AY617" s="5"/>
      <c r="AZ617" s="5"/>
      <c r="BA617" s="5"/>
      <c r="BC617" s="6"/>
      <c r="BE617" s="6"/>
      <c r="BG617" s="6"/>
      <c r="BH617" s="5"/>
      <c r="BI617" s="5"/>
      <c r="BJ617" s="7"/>
    </row>
    <row r="618" s="1" customFormat="true" ht="14.25" hidden="false" customHeight="false" outlineLevel="0" collapsed="false">
      <c r="G618" s="2"/>
      <c r="M618" s="2"/>
      <c r="Z618" s="3"/>
      <c r="AL618" s="4"/>
      <c r="AM618" s="5"/>
      <c r="AN618" s="5"/>
      <c r="AO618" s="5"/>
      <c r="AP618" s="5"/>
      <c r="AQ618" s="5"/>
      <c r="AR618" s="5"/>
      <c r="AS618" s="6"/>
      <c r="AU618" s="6"/>
      <c r="AW618" s="6"/>
      <c r="AY618" s="5"/>
      <c r="AZ618" s="5"/>
      <c r="BA618" s="5"/>
      <c r="BC618" s="6"/>
      <c r="BE618" s="6"/>
      <c r="BG618" s="6"/>
      <c r="BH618" s="5"/>
      <c r="BI618" s="5"/>
      <c r="BJ618" s="7"/>
    </row>
    <row r="619" s="1" customFormat="true" ht="14.25" hidden="false" customHeight="false" outlineLevel="0" collapsed="false">
      <c r="G619" s="2"/>
      <c r="M619" s="2"/>
      <c r="Z619" s="3"/>
      <c r="AL619" s="4"/>
      <c r="AM619" s="5"/>
      <c r="AN619" s="5"/>
      <c r="AO619" s="5"/>
      <c r="AP619" s="5"/>
      <c r="AQ619" s="5"/>
      <c r="AR619" s="5"/>
      <c r="AS619" s="6"/>
      <c r="AU619" s="6"/>
      <c r="AW619" s="6"/>
      <c r="AY619" s="5"/>
      <c r="AZ619" s="5"/>
      <c r="BA619" s="5"/>
      <c r="BC619" s="6"/>
      <c r="BE619" s="6"/>
      <c r="BG619" s="6"/>
      <c r="BH619" s="5"/>
      <c r="BI619" s="5"/>
      <c r="BJ619" s="7"/>
    </row>
    <row r="620" s="1" customFormat="true" ht="14.25" hidden="false" customHeight="false" outlineLevel="0" collapsed="false">
      <c r="G620" s="2"/>
      <c r="M620" s="2"/>
      <c r="Z620" s="3"/>
      <c r="AL620" s="4"/>
      <c r="AM620" s="5"/>
      <c r="AN620" s="5"/>
      <c r="AO620" s="5"/>
      <c r="AP620" s="5"/>
      <c r="AQ620" s="5"/>
      <c r="AR620" s="5"/>
      <c r="AS620" s="6"/>
      <c r="AU620" s="6"/>
      <c r="AW620" s="6"/>
      <c r="AY620" s="5"/>
      <c r="AZ620" s="5"/>
      <c r="BA620" s="5"/>
      <c r="BC620" s="6"/>
      <c r="BE620" s="6"/>
      <c r="BG620" s="6"/>
      <c r="BH620" s="5"/>
      <c r="BI620" s="5"/>
      <c r="BJ620" s="7"/>
    </row>
    <row r="621" s="1" customFormat="true" ht="14.25" hidden="false" customHeight="false" outlineLevel="0" collapsed="false">
      <c r="G621" s="2"/>
      <c r="M621" s="2"/>
      <c r="Z621" s="3"/>
      <c r="AL621" s="4"/>
      <c r="AM621" s="5"/>
      <c r="AN621" s="5"/>
      <c r="AO621" s="5"/>
      <c r="AP621" s="5"/>
      <c r="AQ621" s="5"/>
      <c r="AR621" s="5"/>
      <c r="AS621" s="6"/>
      <c r="AU621" s="6"/>
      <c r="AW621" s="6"/>
      <c r="AY621" s="5"/>
      <c r="AZ621" s="5"/>
      <c r="BA621" s="5"/>
      <c r="BC621" s="6"/>
      <c r="BE621" s="6"/>
      <c r="BG621" s="6"/>
      <c r="BH621" s="5"/>
      <c r="BI621" s="5"/>
      <c r="BJ621" s="7"/>
    </row>
    <row r="622" s="1" customFormat="true" ht="14.25" hidden="false" customHeight="false" outlineLevel="0" collapsed="false">
      <c r="G622" s="2"/>
      <c r="M622" s="2"/>
      <c r="Z622" s="3"/>
      <c r="AL622" s="4"/>
      <c r="AM622" s="5"/>
      <c r="AN622" s="5"/>
      <c r="AO622" s="5"/>
      <c r="AP622" s="5"/>
      <c r="AQ622" s="5"/>
      <c r="AR622" s="5"/>
      <c r="AS622" s="6"/>
      <c r="AU622" s="6"/>
      <c r="AW622" s="6"/>
      <c r="AY622" s="5"/>
      <c r="AZ622" s="5"/>
      <c r="BA622" s="5"/>
      <c r="BC622" s="6"/>
      <c r="BE622" s="6"/>
      <c r="BG622" s="6"/>
      <c r="BH622" s="5"/>
      <c r="BI622" s="5"/>
      <c r="BJ622" s="7"/>
    </row>
    <row r="623" s="1" customFormat="true" ht="14.25" hidden="false" customHeight="false" outlineLevel="0" collapsed="false">
      <c r="G623" s="2"/>
      <c r="M623" s="2"/>
      <c r="Z623" s="3"/>
      <c r="AL623" s="4"/>
      <c r="AM623" s="5"/>
      <c r="AN623" s="5"/>
      <c r="AO623" s="5"/>
      <c r="AP623" s="5"/>
      <c r="AQ623" s="5"/>
      <c r="AR623" s="5"/>
      <c r="AS623" s="6"/>
      <c r="AU623" s="6"/>
      <c r="AW623" s="6"/>
      <c r="AY623" s="5"/>
      <c r="AZ623" s="5"/>
      <c r="BA623" s="5"/>
      <c r="BC623" s="6"/>
      <c r="BE623" s="6"/>
      <c r="BG623" s="6"/>
      <c r="BH623" s="5"/>
      <c r="BI623" s="5"/>
      <c r="BJ623" s="7"/>
    </row>
    <row r="624" s="1" customFormat="true" ht="14.25" hidden="false" customHeight="false" outlineLevel="0" collapsed="false">
      <c r="G624" s="2"/>
      <c r="M624" s="2"/>
      <c r="Z624" s="3"/>
      <c r="AL624" s="4"/>
      <c r="AM624" s="5"/>
      <c r="AN624" s="5"/>
      <c r="AO624" s="5"/>
      <c r="AP624" s="5"/>
      <c r="AQ624" s="5"/>
      <c r="AR624" s="5"/>
      <c r="AS624" s="6"/>
      <c r="AU624" s="6"/>
      <c r="AW624" s="6"/>
      <c r="AY624" s="5"/>
      <c r="AZ624" s="5"/>
      <c r="BA624" s="5"/>
      <c r="BC624" s="6"/>
      <c r="BE624" s="6"/>
      <c r="BG624" s="6"/>
      <c r="BH624" s="5"/>
      <c r="BI624" s="5"/>
      <c r="BJ624" s="7"/>
    </row>
    <row r="625" s="1" customFormat="true" ht="14.25" hidden="false" customHeight="false" outlineLevel="0" collapsed="false">
      <c r="G625" s="2"/>
      <c r="M625" s="2"/>
      <c r="Z625" s="3"/>
      <c r="AL625" s="4"/>
      <c r="AM625" s="5"/>
      <c r="AN625" s="5"/>
      <c r="AO625" s="5"/>
      <c r="AP625" s="5"/>
      <c r="AQ625" s="5"/>
      <c r="AR625" s="5"/>
      <c r="AS625" s="6"/>
      <c r="AU625" s="6"/>
      <c r="AW625" s="6"/>
      <c r="AY625" s="5"/>
      <c r="AZ625" s="5"/>
      <c r="BA625" s="5"/>
      <c r="BC625" s="6"/>
      <c r="BE625" s="6"/>
      <c r="BG625" s="6"/>
      <c r="BH625" s="5"/>
      <c r="BI625" s="5"/>
      <c r="BJ625" s="7"/>
    </row>
    <row r="626" s="1" customFormat="true" ht="14.25" hidden="false" customHeight="false" outlineLevel="0" collapsed="false">
      <c r="G626" s="2"/>
      <c r="M626" s="2"/>
      <c r="Z626" s="3"/>
      <c r="AL626" s="4"/>
      <c r="AM626" s="5"/>
      <c r="AN626" s="5"/>
      <c r="AO626" s="5"/>
      <c r="AP626" s="5"/>
      <c r="AQ626" s="5"/>
      <c r="AR626" s="5"/>
      <c r="AS626" s="6"/>
      <c r="AU626" s="6"/>
      <c r="AW626" s="6"/>
      <c r="AY626" s="5"/>
      <c r="AZ626" s="5"/>
      <c r="BA626" s="5"/>
      <c r="BC626" s="6"/>
      <c r="BE626" s="6"/>
      <c r="BG626" s="6"/>
      <c r="BH626" s="5"/>
      <c r="BI626" s="5"/>
      <c r="BJ626" s="7"/>
    </row>
    <row r="627" s="1" customFormat="true" ht="14.25" hidden="false" customHeight="false" outlineLevel="0" collapsed="false">
      <c r="G627" s="2"/>
      <c r="M627" s="2"/>
      <c r="Z627" s="3"/>
      <c r="AL627" s="4"/>
      <c r="AM627" s="5"/>
      <c r="AN627" s="5"/>
      <c r="AO627" s="5"/>
      <c r="AP627" s="5"/>
      <c r="AQ627" s="5"/>
      <c r="AR627" s="5"/>
      <c r="AS627" s="6"/>
      <c r="AU627" s="6"/>
      <c r="AW627" s="6"/>
      <c r="AY627" s="5"/>
      <c r="AZ627" s="5"/>
      <c r="BA627" s="5"/>
      <c r="BC627" s="6"/>
      <c r="BE627" s="6"/>
      <c r="BG627" s="6"/>
      <c r="BH627" s="5"/>
      <c r="BI627" s="5"/>
      <c r="BJ627" s="7"/>
    </row>
    <row r="628" s="1" customFormat="true" ht="14.25" hidden="false" customHeight="false" outlineLevel="0" collapsed="false">
      <c r="G628" s="2"/>
      <c r="M628" s="2"/>
      <c r="Z628" s="3"/>
      <c r="AL628" s="4"/>
      <c r="AM628" s="5"/>
      <c r="AN628" s="5"/>
      <c r="AO628" s="5"/>
      <c r="AP628" s="5"/>
      <c r="AQ628" s="5"/>
      <c r="AR628" s="5"/>
      <c r="AS628" s="6"/>
      <c r="AU628" s="6"/>
      <c r="AW628" s="6"/>
      <c r="AY628" s="5"/>
      <c r="AZ628" s="5"/>
      <c r="BA628" s="5"/>
      <c r="BC628" s="6"/>
      <c r="BE628" s="6"/>
      <c r="BG628" s="6"/>
      <c r="BH628" s="5"/>
      <c r="BI628" s="5"/>
      <c r="BJ628" s="7"/>
    </row>
    <row r="629" s="1" customFormat="true" ht="14.25" hidden="false" customHeight="false" outlineLevel="0" collapsed="false">
      <c r="G629" s="2"/>
      <c r="M629" s="2"/>
      <c r="Z629" s="3"/>
      <c r="AL629" s="4"/>
      <c r="AM629" s="5"/>
      <c r="AN629" s="5"/>
      <c r="AO629" s="5"/>
      <c r="AP629" s="5"/>
      <c r="AQ629" s="5"/>
      <c r="AR629" s="5"/>
      <c r="AS629" s="6"/>
      <c r="AU629" s="6"/>
      <c r="AW629" s="6"/>
      <c r="AY629" s="5"/>
      <c r="AZ629" s="5"/>
      <c r="BA629" s="5"/>
      <c r="BC629" s="6"/>
      <c r="BE629" s="6"/>
      <c r="BG629" s="6"/>
      <c r="BH629" s="5"/>
      <c r="BI629" s="5"/>
      <c r="BJ629" s="7"/>
    </row>
    <row r="630" s="1" customFormat="true" ht="14.25" hidden="false" customHeight="false" outlineLevel="0" collapsed="false">
      <c r="G630" s="2"/>
      <c r="M630" s="2"/>
      <c r="Z630" s="3"/>
      <c r="AL630" s="4"/>
      <c r="AM630" s="5"/>
      <c r="AN630" s="5"/>
      <c r="AO630" s="5"/>
      <c r="AP630" s="5"/>
      <c r="AQ630" s="5"/>
      <c r="AR630" s="5"/>
      <c r="AS630" s="6"/>
      <c r="AU630" s="6"/>
      <c r="AW630" s="6"/>
      <c r="AY630" s="5"/>
      <c r="AZ630" s="5"/>
      <c r="BA630" s="5"/>
      <c r="BC630" s="6"/>
      <c r="BE630" s="6"/>
      <c r="BG630" s="6"/>
      <c r="BH630" s="5"/>
      <c r="BI630" s="5"/>
      <c r="BJ630" s="7"/>
    </row>
    <row r="631" s="1" customFormat="true" ht="14.25" hidden="false" customHeight="false" outlineLevel="0" collapsed="false">
      <c r="G631" s="2"/>
      <c r="M631" s="2"/>
      <c r="Z631" s="3"/>
      <c r="AL631" s="4"/>
      <c r="AM631" s="5"/>
      <c r="AN631" s="5"/>
      <c r="AO631" s="5"/>
      <c r="AP631" s="5"/>
      <c r="AQ631" s="5"/>
      <c r="AR631" s="5"/>
      <c r="AS631" s="6"/>
      <c r="AU631" s="6"/>
      <c r="AW631" s="6"/>
      <c r="AY631" s="5"/>
      <c r="AZ631" s="5"/>
      <c r="BA631" s="5"/>
      <c r="BC631" s="6"/>
      <c r="BE631" s="6"/>
      <c r="BG631" s="6"/>
      <c r="BH631" s="5"/>
      <c r="BI631" s="5"/>
      <c r="BJ631" s="7"/>
    </row>
    <row r="632" s="1" customFormat="true" ht="14.25" hidden="false" customHeight="false" outlineLevel="0" collapsed="false">
      <c r="G632" s="2"/>
      <c r="M632" s="2"/>
      <c r="Z632" s="3"/>
      <c r="AL632" s="4"/>
      <c r="AM632" s="5"/>
      <c r="AN632" s="5"/>
      <c r="AO632" s="5"/>
      <c r="AP632" s="5"/>
      <c r="AQ632" s="5"/>
      <c r="AR632" s="5"/>
      <c r="AS632" s="6"/>
      <c r="AU632" s="6"/>
      <c r="AW632" s="6"/>
      <c r="AY632" s="5"/>
      <c r="AZ632" s="5"/>
      <c r="BA632" s="5"/>
      <c r="BC632" s="6"/>
      <c r="BE632" s="6"/>
      <c r="BG632" s="6"/>
      <c r="BH632" s="5"/>
      <c r="BI632" s="5"/>
      <c r="BJ632" s="7"/>
    </row>
    <row r="633" s="1" customFormat="true" ht="14.25" hidden="false" customHeight="false" outlineLevel="0" collapsed="false">
      <c r="G633" s="2"/>
      <c r="M633" s="2"/>
      <c r="Z633" s="3"/>
      <c r="AL633" s="4"/>
      <c r="AM633" s="5"/>
      <c r="AN633" s="5"/>
      <c r="AO633" s="5"/>
      <c r="AP633" s="5"/>
      <c r="AQ633" s="5"/>
      <c r="AR633" s="5"/>
      <c r="AS633" s="6"/>
      <c r="AU633" s="6"/>
      <c r="AW633" s="6"/>
      <c r="AY633" s="5"/>
      <c r="AZ633" s="5"/>
      <c r="BA633" s="5"/>
      <c r="BC633" s="6"/>
      <c r="BE633" s="6"/>
      <c r="BG633" s="6"/>
      <c r="BH633" s="5"/>
      <c r="BI633" s="5"/>
      <c r="BJ633" s="7"/>
    </row>
    <row r="634" s="1" customFormat="true" ht="14.25" hidden="false" customHeight="false" outlineLevel="0" collapsed="false">
      <c r="G634" s="2"/>
      <c r="M634" s="2"/>
      <c r="Z634" s="3"/>
      <c r="AL634" s="4"/>
      <c r="AM634" s="5"/>
      <c r="AN634" s="5"/>
      <c r="AO634" s="5"/>
      <c r="AP634" s="5"/>
      <c r="AQ634" s="5"/>
      <c r="AR634" s="5"/>
      <c r="AS634" s="6"/>
      <c r="AU634" s="6"/>
      <c r="AW634" s="6"/>
      <c r="AY634" s="5"/>
      <c r="AZ634" s="5"/>
      <c r="BA634" s="5"/>
      <c r="BC634" s="6"/>
      <c r="BE634" s="6"/>
      <c r="BG634" s="6"/>
      <c r="BH634" s="5"/>
      <c r="BI634" s="5"/>
      <c r="BJ634" s="7"/>
    </row>
    <row r="635" s="1" customFormat="true" ht="14.25" hidden="false" customHeight="false" outlineLevel="0" collapsed="false">
      <c r="G635" s="2"/>
      <c r="M635" s="2"/>
      <c r="Z635" s="3"/>
      <c r="AL635" s="4"/>
      <c r="AM635" s="5"/>
      <c r="AN635" s="5"/>
      <c r="AO635" s="5"/>
      <c r="AP635" s="5"/>
      <c r="AQ635" s="5"/>
      <c r="AR635" s="5"/>
      <c r="AS635" s="6"/>
      <c r="AU635" s="6"/>
      <c r="AW635" s="6"/>
      <c r="AY635" s="5"/>
      <c r="AZ635" s="5"/>
      <c r="BA635" s="5"/>
      <c r="BC635" s="6"/>
      <c r="BE635" s="6"/>
      <c r="BG635" s="6"/>
      <c r="BH635" s="5"/>
      <c r="BI635" s="5"/>
      <c r="BJ635" s="7"/>
    </row>
    <row r="636" s="1" customFormat="true" ht="14.25" hidden="false" customHeight="false" outlineLevel="0" collapsed="false">
      <c r="G636" s="2"/>
      <c r="M636" s="2"/>
      <c r="Z636" s="3"/>
      <c r="AL636" s="4"/>
      <c r="AM636" s="5"/>
      <c r="AN636" s="5"/>
      <c r="AO636" s="5"/>
      <c r="AP636" s="5"/>
      <c r="AQ636" s="5"/>
      <c r="AR636" s="5"/>
      <c r="AS636" s="6"/>
      <c r="AU636" s="6"/>
      <c r="AW636" s="6"/>
      <c r="AY636" s="5"/>
      <c r="AZ636" s="5"/>
      <c r="BA636" s="5"/>
      <c r="BC636" s="6"/>
      <c r="BE636" s="6"/>
      <c r="BG636" s="6"/>
      <c r="BH636" s="5"/>
      <c r="BI636" s="5"/>
      <c r="BJ636" s="7"/>
    </row>
    <row r="637" s="1" customFormat="true" ht="14.25" hidden="false" customHeight="false" outlineLevel="0" collapsed="false">
      <c r="G637" s="2"/>
      <c r="M637" s="2"/>
      <c r="Z637" s="3"/>
      <c r="AL637" s="4"/>
      <c r="AM637" s="5"/>
      <c r="AN637" s="5"/>
      <c r="AO637" s="5"/>
      <c r="AP637" s="5"/>
      <c r="AQ637" s="5"/>
      <c r="AR637" s="5"/>
      <c r="AS637" s="6"/>
      <c r="AU637" s="6"/>
      <c r="AW637" s="6"/>
      <c r="AY637" s="5"/>
      <c r="AZ637" s="5"/>
      <c r="BA637" s="5"/>
      <c r="BC637" s="6"/>
      <c r="BE637" s="6"/>
      <c r="BG637" s="6"/>
      <c r="BH637" s="5"/>
      <c r="BI637" s="5"/>
      <c r="BJ637" s="7"/>
    </row>
    <row r="638" s="1" customFormat="true" ht="14.25" hidden="false" customHeight="false" outlineLevel="0" collapsed="false">
      <c r="G638" s="2"/>
      <c r="M638" s="2"/>
      <c r="Z638" s="3"/>
      <c r="AL638" s="4"/>
      <c r="AM638" s="5"/>
      <c r="AN638" s="5"/>
      <c r="AO638" s="5"/>
      <c r="AP638" s="5"/>
      <c r="AQ638" s="5"/>
      <c r="AR638" s="5"/>
      <c r="AS638" s="6"/>
      <c r="AU638" s="6"/>
      <c r="AW638" s="6"/>
      <c r="AY638" s="5"/>
      <c r="AZ638" s="5"/>
      <c r="BA638" s="5"/>
      <c r="BC638" s="6"/>
      <c r="BE638" s="6"/>
      <c r="BG638" s="6"/>
      <c r="BH638" s="5"/>
      <c r="BI638" s="5"/>
      <c r="BJ638" s="7"/>
    </row>
    <row r="639" s="1" customFormat="true" ht="14.25" hidden="false" customHeight="false" outlineLevel="0" collapsed="false">
      <c r="G639" s="2"/>
      <c r="M639" s="2"/>
      <c r="Z639" s="3"/>
      <c r="AL639" s="4"/>
      <c r="AM639" s="5"/>
      <c r="AN639" s="5"/>
      <c r="AO639" s="5"/>
      <c r="AP639" s="5"/>
      <c r="AQ639" s="5"/>
      <c r="AR639" s="5"/>
      <c r="AS639" s="6"/>
      <c r="AU639" s="6"/>
      <c r="AW639" s="6"/>
      <c r="AY639" s="5"/>
      <c r="AZ639" s="5"/>
      <c r="BA639" s="5"/>
      <c r="BC639" s="6"/>
      <c r="BE639" s="6"/>
      <c r="BG639" s="6"/>
      <c r="BH639" s="5"/>
      <c r="BI639" s="5"/>
      <c r="BJ639" s="7"/>
    </row>
    <row r="640" s="1" customFormat="true" ht="14.25" hidden="false" customHeight="false" outlineLevel="0" collapsed="false">
      <c r="G640" s="2"/>
      <c r="M640" s="2"/>
      <c r="Z640" s="3"/>
      <c r="AL640" s="4"/>
      <c r="AM640" s="5"/>
      <c r="AN640" s="5"/>
      <c r="AO640" s="5"/>
      <c r="AP640" s="5"/>
      <c r="AQ640" s="5"/>
      <c r="AR640" s="5"/>
      <c r="AS640" s="6"/>
      <c r="AU640" s="6"/>
      <c r="AW640" s="6"/>
      <c r="AY640" s="5"/>
      <c r="AZ640" s="5"/>
      <c r="BA640" s="5"/>
      <c r="BC640" s="6"/>
      <c r="BE640" s="6"/>
      <c r="BG640" s="6"/>
      <c r="BH640" s="5"/>
      <c r="BI640" s="5"/>
      <c r="BJ640" s="7"/>
    </row>
    <row r="641" s="1" customFormat="true" ht="14.25" hidden="false" customHeight="false" outlineLevel="0" collapsed="false">
      <c r="G641" s="2"/>
      <c r="M641" s="2"/>
      <c r="Z641" s="3"/>
      <c r="AL641" s="4"/>
      <c r="AM641" s="5"/>
      <c r="AN641" s="5"/>
      <c r="AO641" s="5"/>
      <c r="AP641" s="5"/>
      <c r="AQ641" s="5"/>
      <c r="AR641" s="5"/>
      <c r="AS641" s="6"/>
      <c r="AU641" s="6"/>
      <c r="AW641" s="6"/>
      <c r="AY641" s="5"/>
      <c r="AZ641" s="5"/>
      <c r="BA641" s="5"/>
      <c r="BC641" s="6"/>
      <c r="BE641" s="6"/>
      <c r="BG641" s="6"/>
      <c r="BH641" s="5"/>
      <c r="BI641" s="5"/>
      <c r="BJ641" s="7"/>
    </row>
    <row r="642" s="1" customFormat="true" ht="14.25" hidden="false" customHeight="false" outlineLevel="0" collapsed="false">
      <c r="G642" s="2"/>
      <c r="M642" s="2"/>
      <c r="Z642" s="3"/>
      <c r="AL642" s="4"/>
      <c r="AM642" s="5"/>
      <c r="AN642" s="5"/>
      <c r="AO642" s="5"/>
      <c r="AP642" s="5"/>
      <c r="AQ642" s="5"/>
      <c r="AR642" s="5"/>
      <c r="AS642" s="6"/>
      <c r="AU642" s="6"/>
      <c r="AW642" s="6"/>
      <c r="AY642" s="5"/>
      <c r="AZ642" s="5"/>
      <c r="BA642" s="5"/>
      <c r="BC642" s="6"/>
      <c r="BE642" s="6"/>
      <c r="BG642" s="6"/>
      <c r="BH642" s="5"/>
      <c r="BI642" s="5"/>
      <c r="BJ642" s="7"/>
    </row>
    <row r="643" s="1" customFormat="true" ht="14.25" hidden="false" customHeight="false" outlineLevel="0" collapsed="false">
      <c r="G643" s="2"/>
      <c r="M643" s="2"/>
      <c r="Z643" s="3"/>
      <c r="AL643" s="4"/>
      <c r="AM643" s="5"/>
      <c r="AN643" s="5"/>
      <c r="AO643" s="5"/>
      <c r="AP643" s="5"/>
      <c r="AQ643" s="5"/>
      <c r="AR643" s="5"/>
      <c r="AS643" s="6"/>
      <c r="AU643" s="6"/>
      <c r="AW643" s="6"/>
      <c r="AY643" s="5"/>
      <c r="AZ643" s="5"/>
      <c r="BA643" s="5"/>
      <c r="BC643" s="6"/>
      <c r="BE643" s="6"/>
      <c r="BG643" s="6"/>
      <c r="BH643" s="5"/>
      <c r="BI643" s="5"/>
      <c r="BJ643" s="7"/>
    </row>
    <row r="644" s="1" customFormat="true" ht="14.25" hidden="false" customHeight="false" outlineLevel="0" collapsed="false">
      <c r="G644" s="2"/>
      <c r="M644" s="2"/>
      <c r="Z644" s="3"/>
      <c r="AL644" s="4"/>
      <c r="AM644" s="5"/>
      <c r="AN644" s="5"/>
      <c r="AO644" s="5"/>
      <c r="AP644" s="5"/>
      <c r="AQ644" s="5"/>
      <c r="AR644" s="5"/>
      <c r="AS644" s="6"/>
      <c r="AU644" s="6"/>
      <c r="AW644" s="6"/>
      <c r="AY644" s="5"/>
      <c r="AZ644" s="5"/>
      <c r="BA644" s="5"/>
      <c r="BC644" s="6"/>
      <c r="BE644" s="6"/>
      <c r="BG644" s="6"/>
      <c r="BH644" s="5"/>
      <c r="BI644" s="5"/>
      <c r="BJ644" s="7"/>
    </row>
    <row r="645" s="1" customFormat="true" ht="14.25" hidden="false" customHeight="false" outlineLevel="0" collapsed="false">
      <c r="G645" s="2"/>
      <c r="M645" s="2"/>
      <c r="Z645" s="3"/>
      <c r="AL645" s="4"/>
      <c r="AM645" s="5"/>
      <c r="AN645" s="5"/>
      <c r="AO645" s="5"/>
      <c r="AP645" s="5"/>
      <c r="AQ645" s="5"/>
      <c r="AR645" s="5"/>
      <c r="AS645" s="6"/>
      <c r="AU645" s="6"/>
      <c r="AW645" s="6"/>
      <c r="AY645" s="5"/>
      <c r="AZ645" s="5"/>
      <c r="BA645" s="5"/>
      <c r="BC645" s="6"/>
      <c r="BE645" s="6"/>
      <c r="BG645" s="6"/>
      <c r="BH645" s="5"/>
      <c r="BI645" s="5"/>
      <c r="BJ645" s="7"/>
    </row>
    <row r="646" s="1" customFormat="true" ht="14.25" hidden="false" customHeight="false" outlineLevel="0" collapsed="false">
      <c r="G646" s="2"/>
      <c r="M646" s="2"/>
      <c r="Z646" s="3"/>
      <c r="AL646" s="4"/>
      <c r="AM646" s="5"/>
      <c r="AN646" s="5"/>
      <c r="AO646" s="5"/>
      <c r="AP646" s="5"/>
      <c r="AQ646" s="5"/>
      <c r="AR646" s="5"/>
      <c r="AS646" s="6"/>
      <c r="AU646" s="6"/>
      <c r="AW646" s="6"/>
      <c r="AY646" s="5"/>
      <c r="AZ646" s="5"/>
      <c r="BA646" s="5"/>
      <c r="BC646" s="6"/>
      <c r="BE646" s="6"/>
      <c r="BG646" s="6"/>
      <c r="BH646" s="5"/>
      <c r="BI646" s="5"/>
      <c r="BJ646" s="7"/>
    </row>
    <row r="647" s="1" customFormat="true" ht="14.25" hidden="false" customHeight="false" outlineLevel="0" collapsed="false">
      <c r="G647" s="2"/>
      <c r="M647" s="2"/>
      <c r="Z647" s="3"/>
      <c r="AL647" s="4"/>
      <c r="AM647" s="5"/>
      <c r="AN647" s="5"/>
      <c r="AO647" s="5"/>
      <c r="AP647" s="5"/>
      <c r="AQ647" s="5"/>
      <c r="AR647" s="5"/>
      <c r="AS647" s="6"/>
      <c r="AU647" s="6"/>
      <c r="AW647" s="6"/>
      <c r="AY647" s="5"/>
      <c r="AZ647" s="5"/>
      <c r="BA647" s="5"/>
      <c r="BC647" s="6"/>
      <c r="BE647" s="6"/>
      <c r="BG647" s="6"/>
      <c r="BH647" s="5"/>
      <c r="BI647" s="5"/>
      <c r="BJ647" s="7"/>
    </row>
    <row r="648" s="1" customFormat="true" ht="14.25" hidden="false" customHeight="false" outlineLevel="0" collapsed="false">
      <c r="G648" s="2"/>
      <c r="M648" s="2"/>
      <c r="Z648" s="3"/>
      <c r="AL648" s="4"/>
      <c r="AM648" s="5"/>
      <c r="AN648" s="5"/>
      <c r="AO648" s="5"/>
      <c r="AP648" s="5"/>
      <c r="AQ648" s="5"/>
      <c r="AR648" s="5"/>
      <c r="AS648" s="6"/>
      <c r="AU648" s="6"/>
      <c r="AW648" s="6"/>
      <c r="AY648" s="5"/>
      <c r="AZ648" s="5"/>
      <c r="BA648" s="5"/>
      <c r="BC648" s="6"/>
      <c r="BE648" s="6"/>
      <c r="BG648" s="6"/>
      <c r="BH648" s="5"/>
      <c r="BI648" s="5"/>
      <c r="BJ648" s="7"/>
    </row>
    <row r="649" s="1" customFormat="true" ht="14.25" hidden="false" customHeight="false" outlineLevel="0" collapsed="false">
      <c r="G649" s="2"/>
      <c r="M649" s="2"/>
      <c r="Z649" s="3"/>
      <c r="AL649" s="4"/>
      <c r="AM649" s="5"/>
      <c r="AN649" s="5"/>
      <c r="AO649" s="5"/>
      <c r="AP649" s="5"/>
      <c r="AQ649" s="5"/>
      <c r="AR649" s="5"/>
      <c r="AS649" s="6"/>
      <c r="AU649" s="6"/>
      <c r="AW649" s="6"/>
      <c r="AY649" s="5"/>
      <c r="AZ649" s="5"/>
      <c r="BA649" s="5"/>
      <c r="BC649" s="6"/>
      <c r="BE649" s="6"/>
      <c r="BG649" s="6"/>
      <c r="BH649" s="5"/>
      <c r="BI649" s="5"/>
      <c r="BJ649" s="7"/>
    </row>
    <row r="650" s="1" customFormat="true" ht="14.25" hidden="false" customHeight="false" outlineLevel="0" collapsed="false">
      <c r="G650" s="2"/>
      <c r="M650" s="2"/>
      <c r="Z650" s="3"/>
      <c r="AL650" s="4"/>
      <c r="AM650" s="5"/>
      <c r="AN650" s="5"/>
      <c r="AO650" s="5"/>
      <c r="AP650" s="5"/>
      <c r="AQ650" s="5"/>
      <c r="AR650" s="5"/>
      <c r="AS650" s="6"/>
      <c r="AU650" s="6"/>
      <c r="AW650" s="6"/>
      <c r="AY650" s="5"/>
      <c r="AZ650" s="5"/>
      <c r="BA650" s="5"/>
      <c r="BC650" s="6"/>
      <c r="BE650" s="6"/>
      <c r="BG650" s="6"/>
      <c r="BH650" s="5"/>
      <c r="BI650" s="5"/>
      <c r="BJ650" s="7"/>
    </row>
    <row r="651" s="1" customFormat="true" ht="14.25" hidden="false" customHeight="false" outlineLevel="0" collapsed="false">
      <c r="G651" s="2"/>
      <c r="M651" s="2"/>
      <c r="Z651" s="3"/>
      <c r="AL651" s="4"/>
      <c r="AM651" s="5"/>
      <c r="AN651" s="5"/>
      <c r="AO651" s="5"/>
      <c r="AP651" s="5"/>
      <c r="AQ651" s="5"/>
      <c r="AR651" s="5"/>
      <c r="AS651" s="6"/>
      <c r="AU651" s="6"/>
      <c r="AW651" s="6"/>
      <c r="AY651" s="5"/>
      <c r="AZ651" s="5"/>
      <c r="BA651" s="5"/>
      <c r="BC651" s="6"/>
      <c r="BE651" s="6"/>
      <c r="BG651" s="6"/>
      <c r="BH651" s="5"/>
      <c r="BI651" s="5"/>
      <c r="BJ651" s="7"/>
    </row>
    <row r="652" s="1" customFormat="true" ht="14.25" hidden="false" customHeight="false" outlineLevel="0" collapsed="false">
      <c r="G652" s="2"/>
      <c r="M652" s="2"/>
      <c r="Z652" s="3"/>
      <c r="AL652" s="4"/>
      <c r="AM652" s="5"/>
      <c r="AN652" s="5"/>
      <c r="AO652" s="5"/>
      <c r="AP652" s="5"/>
      <c r="AQ652" s="5"/>
      <c r="AR652" s="5"/>
      <c r="AS652" s="6"/>
      <c r="AU652" s="6"/>
      <c r="AW652" s="6"/>
      <c r="AY652" s="5"/>
      <c r="AZ652" s="5"/>
      <c r="BA652" s="5"/>
      <c r="BC652" s="6"/>
      <c r="BE652" s="6"/>
      <c r="BG652" s="6"/>
      <c r="BH652" s="5"/>
      <c r="BI652" s="5"/>
      <c r="BJ652" s="7"/>
    </row>
    <row r="653" s="1" customFormat="true" ht="14.25" hidden="false" customHeight="false" outlineLevel="0" collapsed="false">
      <c r="G653" s="2"/>
      <c r="M653" s="2"/>
      <c r="Z653" s="3"/>
      <c r="AL653" s="4"/>
      <c r="AM653" s="5"/>
      <c r="AN653" s="5"/>
      <c r="AO653" s="5"/>
      <c r="AP653" s="5"/>
      <c r="AQ653" s="5"/>
      <c r="AR653" s="5"/>
      <c r="AS653" s="6"/>
      <c r="AU653" s="6"/>
      <c r="AW653" s="6"/>
      <c r="AY653" s="5"/>
      <c r="AZ653" s="5"/>
      <c r="BA653" s="5"/>
      <c r="BC653" s="6"/>
      <c r="BE653" s="6"/>
      <c r="BG653" s="6"/>
      <c r="BH653" s="5"/>
      <c r="BI653" s="5"/>
      <c r="BJ653" s="7"/>
    </row>
    <row r="654" s="1" customFormat="true" ht="14.25" hidden="false" customHeight="false" outlineLevel="0" collapsed="false">
      <c r="G654" s="2"/>
      <c r="M654" s="2"/>
      <c r="Z654" s="3"/>
      <c r="AL654" s="4"/>
      <c r="AM654" s="5"/>
      <c r="AN654" s="5"/>
      <c r="AO654" s="5"/>
      <c r="AP654" s="5"/>
      <c r="AQ654" s="5"/>
      <c r="AR654" s="5"/>
      <c r="AS654" s="6"/>
      <c r="AU654" s="6"/>
      <c r="AW654" s="6"/>
      <c r="AY654" s="5"/>
      <c r="AZ654" s="5"/>
      <c r="BA654" s="5"/>
      <c r="BC654" s="6"/>
      <c r="BE654" s="6"/>
      <c r="BG654" s="6"/>
      <c r="BH654" s="5"/>
      <c r="BI654" s="5"/>
      <c r="BJ654" s="7"/>
    </row>
    <row r="655" s="1" customFormat="true" ht="14.25" hidden="false" customHeight="false" outlineLevel="0" collapsed="false">
      <c r="G655" s="2"/>
      <c r="M655" s="2"/>
      <c r="Z655" s="3"/>
      <c r="AL655" s="4"/>
      <c r="AM655" s="5"/>
      <c r="AN655" s="5"/>
      <c r="AO655" s="5"/>
      <c r="AP655" s="5"/>
      <c r="AQ655" s="5"/>
      <c r="AR655" s="5"/>
      <c r="AS655" s="6"/>
      <c r="AU655" s="6"/>
      <c r="AW655" s="6"/>
      <c r="AY655" s="5"/>
      <c r="AZ655" s="5"/>
      <c r="BA655" s="5"/>
      <c r="BC655" s="6"/>
      <c r="BE655" s="6"/>
      <c r="BG655" s="6"/>
      <c r="BH655" s="5"/>
      <c r="BI655" s="5"/>
      <c r="BJ655" s="7"/>
    </row>
    <row r="656" s="1" customFormat="true" ht="14.25" hidden="false" customHeight="false" outlineLevel="0" collapsed="false">
      <c r="G656" s="2"/>
      <c r="M656" s="2"/>
      <c r="Z656" s="3"/>
      <c r="AL656" s="4"/>
      <c r="AM656" s="5"/>
      <c r="AN656" s="5"/>
      <c r="AO656" s="5"/>
      <c r="AP656" s="5"/>
      <c r="AQ656" s="5"/>
      <c r="AR656" s="5"/>
      <c r="AS656" s="6"/>
      <c r="AU656" s="6"/>
      <c r="AW656" s="6"/>
      <c r="AY656" s="5"/>
      <c r="AZ656" s="5"/>
      <c r="BA656" s="5"/>
      <c r="BC656" s="6"/>
      <c r="BE656" s="6"/>
      <c r="BG656" s="6"/>
      <c r="BH656" s="5"/>
      <c r="BI656" s="5"/>
      <c r="BJ656" s="7"/>
    </row>
    <row r="657" s="1" customFormat="true" ht="14.25" hidden="false" customHeight="false" outlineLevel="0" collapsed="false">
      <c r="G657" s="2"/>
      <c r="M657" s="2"/>
      <c r="Z657" s="3"/>
      <c r="AL657" s="4"/>
      <c r="AM657" s="5"/>
      <c r="AN657" s="5"/>
      <c r="AO657" s="5"/>
      <c r="AP657" s="5"/>
      <c r="AQ657" s="5"/>
      <c r="AR657" s="5"/>
      <c r="AS657" s="6"/>
      <c r="AU657" s="6"/>
      <c r="AW657" s="6"/>
      <c r="AY657" s="5"/>
      <c r="AZ657" s="5"/>
      <c r="BA657" s="5"/>
      <c r="BC657" s="6"/>
      <c r="BE657" s="6"/>
      <c r="BG657" s="6"/>
      <c r="BH657" s="5"/>
      <c r="BI657" s="5"/>
      <c r="BJ657" s="7"/>
    </row>
    <row r="658" s="1" customFormat="true" ht="14.25" hidden="false" customHeight="false" outlineLevel="0" collapsed="false">
      <c r="G658" s="2"/>
      <c r="M658" s="2"/>
      <c r="Z658" s="3"/>
      <c r="AL658" s="4"/>
      <c r="AM658" s="5"/>
      <c r="AN658" s="5"/>
      <c r="AO658" s="5"/>
      <c r="AP658" s="5"/>
      <c r="AQ658" s="5"/>
      <c r="AR658" s="5"/>
      <c r="AS658" s="6"/>
      <c r="AU658" s="6"/>
      <c r="AW658" s="6"/>
      <c r="AY658" s="5"/>
      <c r="AZ658" s="5"/>
      <c r="BA658" s="5"/>
      <c r="BC658" s="6"/>
      <c r="BE658" s="6"/>
      <c r="BG658" s="6"/>
      <c r="BH658" s="5"/>
      <c r="BI658" s="5"/>
      <c r="BJ658" s="7"/>
    </row>
    <row r="659" s="1" customFormat="true" ht="14.25" hidden="false" customHeight="false" outlineLevel="0" collapsed="false">
      <c r="G659" s="2"/>
      <c r="M659" s="2"/>
      <c r="Z659" s="3"/>
      <c r="AL659" s="4"/>
      <c r="AM659" s="5"/>
      <c r="AN659" s="5"/>
      <c r="AO659" s="5"/>
      <c r="AP659" s="5"/>
      <c r="AQ659" s="5"/>
      <c r="AR659" s="5"/>
      <c r="AS659" s="6"/>
      <c r="AU659" s="6"/>
      <c r="AW659" s="6"/>
      <c r="AY659" s="5"/>
      <c r="AZ659" s="5"/>
      <c r="BA659" s="5"/>
      <c r="BC659" s="6"/>
      <c r="BE659" s="6"/>
      <c r="BG659" s="6"/>
      <c r="BH659" s="5"/>
      <c r="BI659" s="5"/>
      <c r="BJ659" s="7"/>
    </row>
    <row r="660" s="1" customFormat="true" ht="14.25" hidden="false" customHeight="false" outlineLevel="0" collapsed="false">
      <c r="G660" s="2"/>
      <c r="M660" s="2"/>
      <c r="Z660" s="3"/>
      <c r="AL660" s="4"/>
      <c r="AM660" s="5"/>
      <c r="AN660" s="5"/>
      <c r="AO660" s="5"/>
      <c r="AP660" s="5"/>
      <c r="AQ660" s="5"/>
      <c r="AR660" s="5"/>
      <c r="AS660" s="6"/>
      <c r="AU660" s="6"/>
      <c r="AW660" s="6"/>
      <c r="AY660" s="5"/>
      <c r="AZ660" s="5"/>
      <c r="BA660" s="5"/>
      <c r="BC660" s="6"/>
      <c r="BE660" s="6"/>
      <c r="BG660" s="6"/>
      <c r="BH660" s="5"/>
      <c r="BI660" s="5"/>
      <c r="BJ660" s="7"/>
    </row>
    <row r="661" s="1" customFormat="true" ht="14.25" hidden="false" customHeight="false" outlineLevel="0" collapsed="false">
      <c r="G661" s="2"/>
      <c r="M661" s="2"/>
      <c r="Z661" s="3"/>
      <c r="AL661" s="4"/>
      <c r="AM661" s="5"/>
      <c r="AN661" s="5"/>
      <c r="AO661" s="5"/>
      <c r="AP661" s="5"/>
      <c r="AQ661" s="5"/>
      <c r="AR661" s="5"/>
      <c r="AS661" s="6"/>
      <c r="AU661" s="6"/>
      <c r="AW661" s="6"/>
      <c r="AY661" s="5"/>
      <c r="AZ661" s="5"/>
      <c r="BA661" s="5"/>
      <c r="BC661" s="6"/>
      <c r="BE661" s="6"/>
      <c r="BG661" s="6"/>
      <c r="BH661" s="5"/>
      <c r="BI661" s="5"/>
      <c r="BJ661" s="7"/>
    </row>
    <row r="662" s="1" customFormat="true" ht="14.25" hidden="false" customHeight="false" outlineLevel="0" collapsed="false">
      <c r="G662" s="2"/>
      <c r="M662" s="2"/>
      <c r="Z662" s="3"/>
      <c r="AL662" s="4"/>
      <c r="AM662" s="5"/>
      <c r="AN662" s="5"/>
      <c r="AO662" s="5"/>
      <c r="AP662" s="5"/>
      <c r="AQ662" s="5"/>
      <c r="AR662" s="5"/>
      <c r="AS662" s="6"/>
      <c r="AU662" s="6"/>
      <c r="AW662" s="6"/>
      <c r="AY662" s="5"/>
      <c r="AZ662" s="5"/>
      <c r="BA662" s="5"/>
      <c r="BC662" s="6"/>
      <c r="BE662" s="6"/>
      <c r="BG662" s="6"/>
      <c r="BH662" s="5"/>
      <c r="BI662" s="5"/>
      <c r="BJ662" s="7"/>
    </row>
    <row r="663" s="1" customFormat="true" ht="14.25" hidden="false" customHeight="false" outlineLevel="0" collapsed="false">
      <c r="G663" s="2"/>
      <c r="M663" s="2"/>
      <c r="Z663" s="3"/>
      <c r="AL663" s="4"/>
      <c r="AM663" s="5"/>
      <c r="AN663" s="5"/>
      <c r="AO663" s="5"/>
      <c r="AP663" s="5"/>
      <c r="AQ663" s="5"/>
      <c r="AR663" s="5"/>
      <c r="AS663" s="6"/>
      <c r="AU663" s="6"/>
      <c r="AW663" s="6"/>
      <c r="AY663" s="5"/>
      <c r="AZ663" s="5"/>
      <c r="BA663" s="5"/>
      <c r="BC663" s="6"/>
      <c r="BE663" s="6"/>
      <c r="BG663" s="6"/>
      <c r="BH663" s="5"/>
      <c r="BI663" s="5"/>
      <c r="BJ663" s="7"/>
    </row>
    <row r="664" s="1" customFormat="true" ht="14.25" hidden="false" customHeight="false" outlineLevel="0" collapsed="false">
      <c r="G664" s="2"/>
      <c r="M664" s="2"/>
      <c r="Z664" s="3"/>
      <c r="AL664" s="4"/>
      <c r="AM664" s="5"/>
      <c r="AN664" s="5"/>
      <c r="AO664" s="5"/>
      <c r="AP664" s="5"/>
      <c r="AQ664" s="5"/>
      <c r="AR664" s="5"/>
      <c r="AS664" s="6"/>
      <c r="AU664" s="6"/>
      <c r="AW664" s="6"/>
      <c r="AY664" s="5"/>
      <c r="AZ664" s="5"/>
      <c r="BA664" s="5"/>
      <c r="BC664" s="6"/>
      <c r="BE664" s="6"/>
      <c r="BG664" s="6"/>
      <c r="BH664" s="5"/>
      <c r="BI664" s="5"/>
      <c r="BJ664" s="7"/>
    </row>
    <row r="665" s="1" customFormat="true" ht="14.25" hidden="false" customHeight="false" outlineLevel="0" collapsed="false">
      <c r="G665" s="2"/>
      <c r="M665" s="2"/>
      <c r="Z665" s="3"/>
      <c r="AL665" s="4"/>
      <c r="AM665" s="5"/>
      <c r="AN665" s="5"/>
      <c r="AO665" s="5"/>
      <c r="AP665" s="5"/>
      <c r="AQ665" s="5"/>
      <c r="AR665" s="5"/>
      <c r="AS665" s="6"/>
      <c r="AU665" s="6"/>
      <c r="AW665" s="6"/>
      <c r="AY665" s="5"/>
      <c r="AZ665" s="5"/>
      <c r="BA665" s="5"/>
      <c r="BC665" s="6"/>
      <c r="BE665" s="6"/>
      <c r="BG665" s="6"/>
      <c r="BH665" s="5"/>
      <c r="BI665" s="5"/>
      <c r="BJ665" s="7"/>
    </row>
    <row r="666" s="1" customFormat="true" ht="14.25" hidden="false" customHeight="false" outlineLevel="0" collapsed="false">
      <c r="G666" s="2"/>
      <c r="M666" s="2"/>
      <c r="Z666" s="3"/>
      <c r="AL666" s="4"/>
      <c r="AM666" s="5"/>
      <c r="AN666" s="5"/>
      <c r="AO666" s="5"/>
      <c r="AP666" s="5"/>
      <c r="AQ666" s="5"/>
      <c r="AR666" s="5"/>
      <c r="AS666" s="6"/>
      <c r="AU666" s="6"/>
      <c r="AW666" s="6"/>
      <c r="AY666" s="5"/>
      <c r="AZ666" s="5"/>
      <c r="BA666" s="5"/>
      <c r="BC666" s="6"/>
      <c r="BE666" s="6"/>
      <c r="BG666" s="6"/>
      <c r="BH666" s="5"/>
      <c r="BI666" s="5"/>
      <c r="BJ666" s="7"/>
    </row>
    <row r="667" s="1" customFormat="true" ht="14.25" hidden="false" customHeight="false" outlineLevel="0" collapsed="false">
      <c r="G667" s="2"/>
      <c r="M667" s="2"/>
      <c r="Z667" s="3"/>
      <c r="AL667" s="4"/>
      <c r="AM667" s="5"/>
      <c r="AN667" s="5"/>
      <c r="AO667" s="5"/>
      <c r="AP667" s="5"/>
      <c r="AQ667" s="5"/>
      <c r="AR667" s="5"/>
      <c r="AS667" s="6"/>
      <c r="AU667" s="6"/>
      <c r="AW667" s="6"/>
      <c r="AY667" s="5"/>
      <c r="AZ667" s="5"/>
      <c r="BA667" s="5"/>
      <c r="BC667" s="6"/>
      <c r="BE667" s="6"/>
      <c r="BG667" s="6"/>
      <c r="BH667" s="5"/>
      <c r="BI667" s="5"/>
      <c r="BJ667" s="7"/>
    </row>
    <row r="668" s="1" customFormat="true" ht="14.25" hidden="false" customHeight="false" outlineLevel="0" collapsed="false">
      <c r="G668" s="2"/>
      <c r="M668" s="2"/>
      <c r="Z668" s="3"/>
      <c r="AL668" s="4"/>
      <c r="AM668" s="5"/>
      <c r="AN668" s="5"/>
      <c r="AO668" s="5"/>
      <c r="AP668" s="5"/>
      <c r="AQ668" s="5"/>
      <c r="AR668" s="5"/>
      <c r="AS668" s="6"/>
      <c r="AU668" s="6"/>
      <c r="AW668" s="6"/>
      <c r="AY668" s="5"/>
      <c r="AZ668" s="5"/>
      <c r="BA668" s="5"/>
      <c r="BC668" s="6"/>
      <c r="BE668" s="6"/>
      <c r="BG668" s="6"/>
      <c r="BH668" s="5"/>
      <c r="BI668" s="5"/>
      <c r="BJ668" s="7"/>
    </row>
    <row r="669" s="1" customFormat="true" ht="14.25" hidden="false" customHeight="false" outlineLevel="0" collapsed="false">
      <c r="G669" s="2"/>
      <c r="M669" s="2"/>
      <c r="Z669" s="3"/>
      <c r="AL669" s="4"/>
      <c r="AM669" s="5"/>
      <c r="AN669" s="5"/>
      <c r="AO669" s="5"/>
      <c r="AP669" s="5"/>
      <c r="AQ669" s="5"/>
      <c r="AR669" s="5"/>
      <c r="AS669" s="6"/>
      <c r="AU669" s="6"/>
      <c r="AW669" s="6"/>
      <c r="AY669" s="5"/>
      <c r="AZ669" s="5"/>
      <c r="BA669" s="5"/>
      <c r="BC669" s="6"/>
      <c r="BE669" s="6"/>
      <c r="BG669" s="6"/>
      <c r="BH669" s="5"/>
      <c r="BI669" s="5"/>
      <c r="BJ669" s="7"/>
    </row>
    <row r="670" s="1" customFormat="true" ht="14.25" hidden="false" customHeight="false" outlineLevel="0" collapsed="false">
      <c r="G670" s="2"/>
      <c r="M670" s="2"/>
      <c r="Z670" s="3"/>
      <c r="AL670" s="4"/>
      <c r="AM670" s="5"/>
      <c r="AN670" s="5"/>
      <c r="AO670" s="5"/>
      <c r="AP670" s="5"/>
      <c r="AQ670" s="5"/>
      <c r="AR670" s="5"/>
      <c r="AS670" s="6"/>
      <c r="AU670" s="6"/>
      <c r="AW670" s="6"/>
      <c r="AY670" s="5"/>
      <c r="AZ670" s="5"/>
      <c r="BA670" s="5"/>
      <c r="BC670" s="6"/>
      <c r="BE670" s="6"/>
      <c r="BG670" s="6"/>
      <c r="BH670" s="5"/>
      <c r="BI670" s="5"/>
      <c r="BJ670" s="7"/>
    </row>
    <row r="671" s="1" customFormat="true" ht="14.25" hidden="false" customHeight="false" outlineLevel="0" collapsed="false">
      <c r="G671" s="2"/>
      <c r="M671" s="2"/>
      <c r="Z671" s="3"/>
      <c r="AL671" s="4"/>
      <c r="AM671" s="5"/>
      <c r="AN671" s="5"/>
      <c r="AO671" s="5"/>
      <c r="AP671" s="5"/>
      <c r="AQ671" s="5"/>
      <c r="AR671" s="5"/>
      <c r="AS671" s="6"/>
      <c r="AU671" s="6"/>
      <c r="AW671" s="6"/>
      <c r="AY671" s="5"/>
      <c r="AZ671" s="5"/>
      <c r="BA671" s="5"/>
      <c r="BC671" s="6"/>
      <c r="BE671" s="6"/>
      <c r="BG671" s="6"/>
      <c r="BH671" s="5"/>
      <c r="BI671" s="5"/>
      <c r="BJ671" s="7"/>
    </row>
    <row r="672" s="1" customFormat="true" ht="14.25" hidden="false" customHeight="false" outlineLevel="0" collapsed="false">
      <c r="G672" s="2"/>
      <c r="M672" s="2"/>
      <c r="Z672" s="3"/>
      <c r="AL672" s="4"/>
      <c r="AM672" s="5"/>
      <c r="AN672" s="5"/>
      <c r="AO672" s="5"/>
      <c r="AP672" s="5"/>
      <c r="AQ672" s="5"/>
      <c r="AR672" s="5"/>
      <c r="AS672" s="6"/>
      <c r="AU672" s="6"/>
      <c r="AW672" s="6"/>
      <c r="AY672" s="5"/>
      <c r="AZ672" s="5"/>
      <c r="BA672" s="5"/>
      <c r="BC672" s="6"/>
      <c r="BE672" s="6"/>
      <c r="BG672" s="6"/>
      <c r="BH672" s="5"/>
      <c r="BI672" s="5"/>
      <c r="BJ672" s="7"/>
    </row>
    <row r="673" s="1" customFormat="true" ht="14.25" hidden="false" customHeight="false" outlineLevel="0" collapsed="false">
      <c r="G673" s="2"/>
      <c r="M673" s="2"/>
      <c r="Z673" s="3"/>
      <c r="AL673" s="4"/>
      <c r="AM673" s="5"/>
      <c r="AN673" s="5"/>
      <c r="AO673" s="5"/>
      <c r="AP673" s="5"/>
      <c r="AQ673" s="5"/>
      <c r="AR673" s="5"/>
      <c r="AS673" s="6"/>
      <c r="AU673" s="6"/>
      <c r="AW673" s="6"/>
      <c r="AY673" s="5"/>
      <c r="AZ673" s="5"/>
      <c r="BA673" s="5"/>
      <c r="BC673" s="6"/>
      <c r="BE673" s="6"/>
      <c r="BG673" s="6"/>
      <c r="BH673" s="5"/>
      <c r="BI673" s="5"/>
      <c r="BJ673" s="7"/>
    </row>
    <row r="674" s="1" customFormat="true" ht="14.25" hidden="false" customHeight="false" outlineLevel="0" collapsed="false">
      <c r="G674" s="2"/>
      <c r="M674" s="2"/>
      <c r="Z674" s="3"/>
      <c r="AL674" s="4"/>
      <c r="AM674" s="5"/>
      <c r="AN674" s="5"/>
      <c r="AO674" s="5"/>
      <c r="AP674" s="5"/>
      <c r="AQ674" s="5"/>
      <c r="AR674" s="5"/>
      <c r="AS674" s="6"/>
      <c r="AU674" s="6"/>
      <c r="AW674" s="6"/>
      <c r="AY674" s="5"/>
      <c r="AZ674" s="5"/>
      <c r="BA674" s="5"/>
      <c r="BC674" s="6"/>
      <c r="BE674" s="6"/>
      <c r="BG674" s="6"/>
      <c r="BH674" s="5"/>
      <c r="BI674" s="5"/>
      <c r="BJ674" s="7"/>
    </row>
    <row r="675" s="1" customFormat="true" ht="14.25" hidden="false" customHeight="false" outlineLevel="0" collapsed="false">
      <c r="G675" s="2"/>
      <c r="M675" s="2"/>
      <c r="Z675" s="3"/>
      <c r="AL675" s="4"/>
      <c r="AM675" s="5"/>
      <c r="AN675" s="5"/>
      <c r="AO675" s="5"/>
      <c r="AP675" s="5"/>
      <c r="AQ675" s="5"/>
      <c r="AR675" s="5"/>
      <c r="AS675" s="6"/>
      <c r="AU675" s="6"/>
      <c r="AW675" s="6"/>
      <c r="AY675" s="5"/>
      <c r="AZ675" s="5"/>
      <c r="BA675" s="5"/>
      <c r="BC675" s="6"/>
      <c r="BE675" s="6"/>
      <c r="BG675" s="6"/>
      <c r="BH675" s="5"/>
      <c r="BI675" s="5"/>
      <c r="BJ675" s="7"/>
    </row>
    <row r="676" s="1" customFormat="true" ht="14.25" hidden="false" customHeight="false" outlineLevel="0" collapsed="false">
      <c r="G676" s="2"/>
      <c r="M676" s="2"/>
      <c r="Z676" s="3"/>
      <c r="AL676" s="4"/>
      <c r="AM676" s="5"/>
      <c r="AN676" s="5"/>
      <c r="AO676" s="5"/>
      <c r="AP676" s="5"/>
      <c r="AQ676" s="5"/>
      <c r="AR676" s="5"/>
      <c r="AS676" s="6"/>
      <c r="AU676" s="6"/>
      <c r="AW676" s="6"/>
      <c r="AY676" s="5"/>
      <c r="AZ676" s="5"/>
      <c r="BA676" s="5"/>
      <c r="BC676" s="6"/>
      <c r="BE676" s="6"/>
      <c r="BG676" s="6"/>
      <c r="BH676" s="5"/>
      <c r="BI676" s="5"/>
      <c r="BJ676" s="7"/>
    </row>
    <row r="677" s="1" customFormat="true" ht="14.25" hidden="false" customHeight="false" outlineLevel="0" collapsed="false">
      <c r="G677" s="2"/>
      <c r="M677" s="2"/>
      <c r="Z677" s="3"/>
      <c r="AL677" s="4"/>
      <c r="AM677" s="5"/>
      <c r="AN677" s="5"/>
      <c r="AO677" s="5"/>
      <c r="AP677" s="5"/>
      <c r="AQ677" s="5"/>
      <c r="AR677" s="5"/>
      <c r="AS677" s="6"/>
      <c r="AU677" s="6"/>
      <c r="AW677" s="6"/>
      <c r="AY677" s="5"/>
      <c r="AZ677" s="5"/>
      <c r="BA677" s="5"/>
      <c r="BC677" s="6"/>
      <c r="BE677" s="6"/>
      <c r="BG677" s="6"/>
      <c r="BH677" s="5"/>
      <c r="BI677" s="5"/>
      <c r="BJ677" s="7"/>
    </row>
    <row r="678" s="1" customFormat="true" ht="14.25" hidden="false" customHeight="false" outlineLevel="0" collapsed="false">
      <c r="G678" s="2"/>
      <c r="M678" s="2"/>
      <c r="Z678" s="3"/>
      <c r="AL678" s="4"/>
      <c r="AM678" s="5"/>
      <c r="AN678" s="5"/>
      <c r="AO678" s="5"/>
      <c r="AP678" s="5"/>
      <c r="AQ678" s="5"/>
      <c r="AR678" s="5"/>
      <c r="AS678" s="6"/>
      <c r="AU678" s="6"/>
      <c r="AW678" s="6"/>
      <c r="AY678" s="5"/>
      <c r="AZ678" s="5"/>
      <c r="BA678" s="5"/>
      <c r="BC678" s="6"/>
      <c r="BE678" s="6"/>
      <c r="BG678" s="6"/>
      <c r="BH678" s="5"/>
      <c r="BI678" s="5"/>
      <c r="BJ678" s="7"/>
    </row>
    <row r="679" s="1" customFormat="true" ht="14.25" hidden="false" customHeight="false" outlineLevel="0" collapsed="false">
      <c r="G679" s="2"/>
      <c r="M679" s="2"/>
      <c r="Z679" s="3"/>
      <c r="AL679" s="4"/>
      <c r="AM679" s="5"/>
      <c r="AN679" s="5"/>
      <c r="AO679" s="5"/>
      <c r="AP679" s="5"/>
      <c r="AQ679" s="5"/>
      <c r="AR679" s="5"/>
      <c r="AS679" s="6"/>
      <c r="AU679" s="6"/>
      <c r="AW679" s="6"/>
      <c r="AY679" s="5"/>
      <c r="AZ679" s="5"/>
      <c r="BA679" s="5"/>
      <c r="BC679" s="6"/>
      <c r="BE679" s="6"/>
      <c r="BG679" s="6"/>
      <c r="BH679" s="5"/>
      <c r="BI679" s="5"/>
      <c r="BJ679" s="7"/>
    </row>
    <row r="680" s="1" customFormat="true" ht="14.25" hidden="false" customHeight="false" outlineLevel="0" collapsed="false">
      <c r="G680" s="2"/>
      <c r="M680" s="2"/>
      <c r="Z680" s="3"/>
      <c r="AL680" s="4"/>
      <c r="AM680" s="5"/>
      <c r="AN680" s="5"/>
      <c r="AO680" s="5"/>
      <c r="AP680" s="5"/>
      <c r="AQ680" s="5"/>
      <c r="AR680" s="5"/>
      <c r="AS680" s="6"/>
      <c r="AU680" s="6"/>
      <c r="AW680" s="6"/>
      <c r="AY680" s="5"/>
      <c r="AZ680" s="5"/>
      <c r="BA680" s="5"/>
      <c r="BC680" s="6"/>
      <c r="BE680" s="6"/>
      <c r="BG680" s="6"/>
      <c r="BH680" s="5"/>
      <c r="BI680" s="5"/>
      <c r="BJ680" s="7"/>
    </row>
    <row r="681" s="1" customFormat="true" ht="14.25" hidden="false" customHeight="false" outlineLevel="0" collapsed="false">
      <c r="G681" s="2"/>
      <c r="M681" s="2"/>
      <c r="Z681" s="3"/>
      <c r="AL681" s="4"/>
      <c r="AM681" s="5"/>
      <c r="AN681" s="5"/>
      <c r="AO681" s="5"/>
      <c r="AP681" s="5"/>
      <c r="AQ681" s="5"/>
      <c r="AR681" s="5"/>
      <c r="AS681" s="6"/>
      <c r="AU681" s="6"/>
      <c r="AW681" s="6"/>
      <c r="AY681" s="5"/>
      <c r="AZ681" s="5"/>
      <c r="BA681" s="5"/>
      <c r="BC681" s="6"/>
      <c r="BE681" s="6"/>
      <c r="BG681" s="6"/>
      <c r="BH681" s="5"/>
      <c r="BI681" s="5"/>
      <c r="BJ681" s="7"/>
    </row>
    <row r="682" s="1" customFormat="true" ht="14.25" hidden="false" customHeight="false" outlineLevel="0" collapsed="false">
      <c r="G682" s="2"/>
      <c r="M682" s="2"/>
      <c r="Z682" s="3"/>
      <c r="AL682" s="4"/>
      <c r="AM682" s="5"/>
      <c r="AN682" s="5"/>
      <c r="AO682" s="5"/>
      <c r="AP682" s="5"/>
      <c r="AQ682" s="5"/>
      <c r="AR682" s="5"/>
      <c r="AS682" s="6"/>
      <c r="AU682" s="6"/>
      <c r="AW682" s="6"/>
      <c r="AY682" s="5"/>
      <c r="AZ682" s="5"/>
      <c r="BA682" s="5"/>
      <c r="BC682" s="6"/>
      <c r="BE682" s="6"/>
      <c r="BG682" s="6"/>
      <c r="BH682" s="5"/>
      <c r="BI682" s="5"/>
      <c r="BJ682" s="7"/>
    </row>
    <row r="683" s="1" customFormat="true" ht="14.25" hidden="false" customHeight="false" outlineLevel="0" collapsed="false">
      <c r="G683" s="2"/>
      <c r="M683" s="2"/>
      <c r="Z683" s="3"/>
      <c r="AL683" s="4"/>
      <c r="AM683" s="5"/>
      <c r="AN683" s="5"/>
      <c r="AO683" s="5"/>
      <c r="AP683" s="5"/>
      <c r="AQ683" s="5"/>
      <c r="AR683" s="5"/>
      <c r="AS683" s="6"/>
      <c r="AU683" s="6"/>
      <c r="AW683" s="6"/>
      <c r="AY683" s="5"/>
      <c r="AZ683" s="5"/>
      <c r="BA683" s="5"/>
      <c r="BC683" s="6"/>
      <c r="BE683" s="6"/>
      <c r="BG683" s="6"/>
      <c r="BH683" s="5"/>
      <c r="BI683" s="5"/>
      <c r="BJ683" s="7"/>
    </row>
    <row r="684" s="1" customFormat="true" ht="14.25" hidden="false" customHeight="false" outlineLevel="0" collapsed="false">
      <c r="G684" s="2"/>
      <c r="M684" s="2"/>
      <c r="Z684" s="3"/>
      <c r="AL684" s="4"/>
      <c r="AM684" s="5"/>
      <c r="AN684" s="5"/>
      <c r="AO684" s="5"/>
      <c r="AP684" s="5"/>
      <c r="AQ684" s="5"/>
      <c r="AR684" s="5"/>
      <c r="AS684" s="6"/>
      <c r="AU684" s="6"/>
      <c r="AW684" s="6"/>
      <c r="AY684" s="5"/>
      <c r="AZ684" s="5"/>
      <c r="BA684" s="5"/>
      <c r="BC684" s="6"/>
      <c r="BE684" s="6"/>
      <c r="BG684" s="6"/>
      <c r="BH684" s="5"/>
      <c r="BI684" s="5"/>
      <c r="BJ684" s="7"/>
    </row>
    <row r="685" s="1" customFormat="true" ht="14.25" hidden="false" customHeight="false" outlineLevel="0" collapsed="false">
      <c r="G685" s="2"/>
      <c r="M685" s="2"/>
      <c r="Z685" s="3"/>
      <c r="AL685" s="4"/>
      <c r="AM685" s="5"/>
      <c r="AN685" s="5"/>
      <c r="AO685" s="5"/>
      <c r="AP685" s="5"/>
      <c r="AQ685" s="5"/>
      <c r="AR685" s="5"/>
      <c r="AS685" s="6"/>
      <c r="AU685" s="6"/>
      <c r="AW685" s="6"/>
      <c r="AY685" s="5"/>
      <c r="AZ685" s="5"/>
      <c r="BA685" s="5"/>
      <c r="BC685" s="6"/>
      <c r="BE685" s="6"/>
      <c r="BG685" s="6"/>
      <c r="BH685" s="5"/>
      <c r="BI685" s="5"/>
      <c r="BJ685" s="7"/>
    </row>
    <row r="686" s="1" customFormat="true" ht="14.25" hidden="false" customHeight="false" outlineLevel="0" collapsed="false">
      <c r="G686" s="2"/>
      <c r="M686" s="2"/>
      <c r="Z686" s="3"/>
      <c r="AL686" s="4"/>
      <c r="AM686" s="5"/>
      <c r="AN686" s="5"/>
      <c r="AO686" s="5"/>
      <c r="AP686" s="5"/>
      <c r="AQ686" s="5"/>
      <c r="AR686" s="5"/>
      <c r="AS686" s="6"/>
      <c r="AU686" s="6"/>
      <c r="AW686" s="6"/>
      <c r="AY686" s="5"/>
      <c r="AZ686" s="5"/>
      <c r="BA686" s="5"/>
      <c r="BC686" s="6"/>
      <c r="BE686" s="6"/>
      <c r="BG686" s="6"/>
      <c r="BH686" s="5"/>
      <c r="BI686" s="5"/>
      <c r="BJ686" s="7"/>
    </row>
    <row r="687" s="1" customFormat="true" ht="14.25" hidden="false" customHeight="false" outlineLevel="0" collapsed="false">
      <c r="G687" s="2"/>
      <c r="M687" s="2"/>
      <c r="Z687" s="3"/>
      <c r="AL687" s="4"/>
      <c r="AM687" s="5"/>
      <c r="AN687" s="5"/>
      <c r="AO687" s="5"/>
      <c r="AP687" s="5"/>
      <c r="AQ687" s="5"/>
      <c r="AR687" s="5"/>
      <c r="AS687" s="6"/>
      <c r="AU687" s="6"/>
      <c r="AW687" s="6"/>
      <c r="AY687" s="5"/>
      <c r="AZ687" s="5"/>
      <c r="BA687" s="5"/>
      <c r="BC687" s="6"/>
      <c r="BE687" s="6"/>
      <c r="BG687" s="6"/>
      <c r="BH687" s="5"/>
      <c r="BI687" s="5"/>
      <c r="BJ687" s="7"/>
    </row>
    <row r="688" s="1" customFormat="true" ht="14.25" hidden="false" customHeight="false" outlineLevel="0" collapsed="false">
      <c r="G688" s="2"/>
      <c r="M688" s="2"/>
      <c r="Z688" s="3"/>
      <c r="AL688" s="4"/>
      <c r="AM688" s="5"/>
      <c r="AN688" s="5"/>
      <c r="AO688" s="5"/>
      <c r="AP688" s="5"/>
      <c r="AQ688" s="5"/>
      <c r="AR688" s="5"/>
      <c r="AS688" s="6"/>
      <c r="AU688" s="6"/>
      <c r="AW688" s="6"/>
      <c r="AY688" s="5"/>
      <c r="AZ688" s="5"/>
      <c r="BA688" s="5"/>
      <c r="BC688" s="6"/>
      <c r="BE688" s="6"/>
      <c r="BG688" s="6"/>
      <c r="BH688" s="5"/>
      <c r="BI688" s="5"/>
      <c r="BJ688" s="7"/>
    </row>
    <row r="689" s="1" customFormat="true" ht="14.25" hidden="false" customHeight="false" outlineLevel="0" collapsed="false">
      <c r="G689" s="2"/>
      <c r="M689" s="2"/>
      <c r="Z689" s="3"/>
      <c r="AL689" s="4"/>
      <c r="AM689" s="5"/>
      <c r="AN689" s="5"/>
      <c r="AO689" s="5"/>
      <c r="AP689" s="5"/>
      <c r="AQ689" s="5"/>
      <c r="AR689" s="5"/>
      <c r="AS689" s="6"/>
      <c r="AU689" s="6"/>
      <c r="AW689" s="6"/>
      <c r="AY689" s="5"/>
      <c r="AZ689" s="5"/>
      <c r="BA689" s="5"/>
      <c r="BC689" s="6"/>
      <c r="BE689" s="6"/>
      <c r="BG689" s="6"/>
      <c r="BH689" s="5"/>
      <c r="BI689" s="5"/>
      <c r="BJ689" s="7"/>
    </row>
    <row r="690" s="1" customFormat="true" ht="14.25" hidden="false" customHeight="false" outlineLevel="0" collapsed="false">
      <c r="G690" s="2"/>
      <c r="M690" s="2"/>
      <c r="Z690" s="3"/>
      <c r="AL690" s="4"/>
      <c r="AM690" s="5"/>
      <c r="AN690" s="5"/>
      <c r="AO690" s="5"/>
      <c r="AP690" s="5"/>
      <c r="AQ690" s="5"/>
      <c r="AR690" s="5"/>
      <c r="AS690" s="6"/>
      <c r="AU690" s="6"/>
      <c r="AW690" s="6"/>
      <c r="AY690" s="5"/>
      <c r="AZ690" s="5"/>
      <c r="BA690" s="5"/>
      <c r="BC690" s="6"/>
      <c r="BE690" s="6"/>
      <c r="BG690" s="6"/>
      <c r="BH690" s="5"/>
      <c r="BI690" s="5"/>
      <c r="BJ690" s="7"/>
    </row>
    <row r="691" s="1" customFormat="true" ht="14.25" hidden="false" customHeight="false" outlineLevel="0" collapsed="false">
      <c r="G691" s="2"/>
      <c r="M691" s="2"/>
      <c r="Z691" s="3"/>
      <c r="AL691" s="4"/>
      <c r="AM691" s="5"/>
      <c r="AN691" s="5"/>
      <c r="AO691" s="5"/>
      <c r="AP691" s="5"/>
      <c r="AQ691" s="5"/>
      <c r="AR691" s="5"/>
      <c r="AS691" s="6"/>
      <c r="AU691" s="6"/>
      <c r="AW691" s="6"/>
      <c r="AY691" s="5"/>
      <c r="AZ691" s="5"/>
      <c r="BA691" s="5"/>
      <c r="BC691" s="6"/>
      <c r="BE691" s="6"/>
      <c r="BG691" s="6"/>
      <c r="BH691" s="5"/>
      <c r="BI691" s="5"/>
      <c r="BJ691" s="7"/>
    </row>
    <row r="692" s="1" customFormat="true" ht="14.25" hidden="false" customHeight="false" outlineLevel="0" collapsed="false">
      <c r="G692" s="2"/>
      <c r="M692" s="2"/>
      <c r="Z692" s="3"/>
      <c r="AL692" s="4"/>
      <c r="AM692" s="5"/>
      <c r="AN692" s="5"/>
      <c r="AO692" s="5"/>
      <c r="AP692" s="5"/>
      <c r="AQ692" s="5"/>
      <c r="AR692" s="5"/>
      <c r="AS692" s="6"/>
      <c r="AU692" s="6"/>
      <c r="AW692" s="6"/>
      <c r="AY692" s="5"/>
      <c r="AZ692" s="5"/>
      <c r="BA692" s="5"/>
      <c r="BC692" s="6"/>
      <c r="BE692" s="6"/>
      <c r="BG692" s="6"/>
      <c r="BH692" s="5"/>
      <c r="BI692" s="5"/>
      <c r="BJ692" s="7"/>
    </row>
    <row r="693" s="1" customFormat="true" ht="14.25" hidden="false" customHeight="false" outlineLevel="0" collapsed="false">
      <c r="G693" s="2"/>
      <c r="M693" s="2"/>
      <c r="Z693" s="3"/>
      <c r="AL693" s="4"/>
      <c r="AM693" s="5"/>
      <c r="AN693" s="5"/>
      <c r="AO693" s="5"/>
      <c r="AP693" s="5"/>
      <c r="AQ693" s="5"/>
      <c r="AR693" s="5"/>
      <c r="AS693" s="6"/>
      <c r="AU693" s="6"/>
      <c r="AW693" s="6"/>
      <c r="AY693" s="5"/>
      <c r="AZ693" s="5"/>
      <c r="BA693" s="5"/>
      <c r="BC693" s="6"/>
      <c r="BE693" s="6"/>
      <c r="BG693" s="6"/>
      <c r="BH693" s="5"/>
      <c r="BI693" s="5"/>
      <c r="BJ693" s="7"/>
    </row>
    <row r="694" s="1" customFormat="true" ht="14.25" hidden="false" customHeight="false" outlineLevel="0" collapsed="false">
      <c r="G694" s="2"/>
      <c r="M694" s="2"/>
      <c r="Z694" s="3"/>
      <c r="AL694" s="4"/>
      <c r="AM694" s="5"/>
      <c r="AN694" s="5"/>
      <c r="AO694" s="5"/>
      <c r="AP694" s="5"/>
      <c r="AQ694" s="5"/>
      <c r="AR694" s="5"/>
      <c r="AS694" s="6"/>
      <c r="AU694" s="6"/>
      <c r="AW694" s="6"/>
      <c r="AY694" s="5"/>
      <c r="AZ694" s="5"/>
      <c r="BA694" s="5"/>
      <c r="BC694" s="6"/>
      <c r="BE694" s="6"/>
      <c r="BG694" s="6"/>
      <c r="BH694" s="5"/>
      <c r="BI694" s="5"/>
      <c r="BJ694" s="7"/>
    </row>
    <row r="695" s="1" customFormat="true" ht="14.25" hidden="false" customHeight="false" outlineLevel="0" collapsed="false">
      <c r="G695" s="2"/>
      <c r="M695" s="2"/>
      <c r="Z695" s="3"/>
      <c r="AL695" s="4"/>
      <c r="AM695" s="5"/>
      <c r="AN695" s="5"/>
      <c r="AO695" s="5"/>
      <c r="AP695" s="5"/>
      <c r="AQ695" s="5"/>
      <c r="AR695" s="5"/>
      <c r="AS695" s="6"/>
      <c r="AU695" s="6"/>
      <c r="AW695" s="6"/>
      <c r="AY695" s="5"/>
      <c r="AZ695" s="5"/>
      <c r="BA695" s="5"/>
      <c r="BC695" s="6"/>
      <c r="BE695" s="6"/>
      <c r="BG695" s="6"/>
      <c r="BH695" s="5"/>
      <c r="BI695" s="5"/>
      <c r="BJ695" s="7"/>
    </row>
    <row r="696" s="1" customFormat="true" ht="14.25" hidden="false" customHeight="false" outlineLevel="0" collapsed="false">
      <c r="G696" s="2"/>
      <c r="M696" s="2"/>
      <c r="Z696" s="3"/>
      <c r="AL696" s="4"/>
      <c r="AM696" s="5"/>
      <c r="AN696" s="5"/>
      <c r="AO696" s="5"/>
      <c r="AP696" s="5"/>
      <c r="AQ696" s="5"/>
      <c r="AR696" s="5"/>
      <c r="AS696" s="6"/>
      <c r="AU696" s="6"/>
      <c r="AW696" s="6"/>
      <c r="AY696" s="5"/>
      <c r="AZ696" s="5"/>
      <c r="BA696" s="5"/>
      <c r="BC696" s="6"/>
      <c r="BE696" s="6"/>
      <c r="BG696" s="6"/>
      <c r="BH696" s="5"/>
      <c r="BI696" s="5"/>
      <c r="BJ696" s="7"/>
    </row>
    <row r="697" s="1" customFormat="true" ht="14.25" hidden="false" customHeight="false" outlineLevel="0" collapsed="false">
      <c r="G697" s="2"/>
      <c r="M697" s="2"/>
      <c r="Z697" s="3"/>
      <c r="AL697" s="4"/>
      <c r="AM697" s="5"/>
      <c r="AN697" s="5"/>
      <c r="AO697" s="5"/>
      <c r="AP697" s="5"/>
      <c r="AQ697" s="5"/>
      <c r="AR697" s="5"/>
      <c r="AS697" s="6"/>
      <c r="AU697" s="6"/>
      <c r="AW697" s="6"/>
      <c r="AY697" s="5"/>
      <c r="AZ697" s="5"/>
      <c r="BA697" s="5"/>
      <c r="BC697" s="6"/>
      <c r="BE697" s="6"/>
      <c r="BG697" s="6"/>
      <c r="BH697" s="5"/>
      <c r="BI697" s="5"/>
      <c r="BJ697" s="7"/>
    </row>
    <row r="698" s="1" customFormat="true" ht="14.25" hidden="false" customHeight="false" outlineLevel="0" collapsed="false">
      <c r="G698" s="2"/>
      <c r="M698" s="2"/>
      <c r="Z698" s="3"/>
      <c r="AL698" s="4"/>
      <c r="AM698" s="5"/>
      <c r="AN698" s="5"/>
      <c r="AO698" s="5"/>
      <c r="AP698" s="5"/>
      <c r="AQ698" s="5"/>
      <c r="AR698" s="5"/>
      <c r="AS698" s="6"/>
      <c r="AU698" s="6"/>
      <c r="AW698" s="6"/>
      <c r="AY698" s="5"/>
      <c r="AZ698" s="5"/>
      <c r="BA698" s="5"/>
      <c r="BC698" s="6"/>
      <c r="BE698" s="6"/>
      <c r="BG698" s="6"/>
      <c r="BH698" s="5"/>
      <c r="BI698" s="5"/>
      <c r="BJ698" s="7"/>
    </row>
    <row r="699" s="1" customFormat="true" ht="14.25" hidden="false" customHeight="false" outlineLevel="0" collapsed="false">
      <c r="G699" s="2"/>
      <c r="M699" s="2"/>
      <c r="Z699" s="3"/>
      <c r="AL699" s="4"/>
      <c r="AM699" s="5"/>
      <c r="AN699" s="5"/>
      <c r="AO699" s="5"/>
      <c r="AP699" s="5"/>
      <c r="AQ699" s="5"/>
      <c r="AR699" s="5"/>
      <c r="AS699" s="6"/>
      <c r="AU699" s="6"/>
      <c r="AW699" s="6"/>
      <c r="AY699" s="5"/>
      <c r="AZ699" s="5"/>
      <c r="BA699" s="5"/>
      <c r="BC699" s="6"/>
      <c r="BE699" s="6"/>
      <c r="BG699" s="6"/>
      <c r="BH699" s="5"/>
      <c r="BI699" s="5"/>
      <c r="BJ699" s="7"/>
    </row>
    <row r="700" s="1" customFormat="true" ht="14.25" hidden="false" customHeight="false" outlineLevel="0" collapsed="false">
      <c r="G700" s="2"/>
      <c r="M700" s="2"/>
      <c r="Z700" s="3"/>
      <c r="AL700" s="4"/>
      <c r="AM700" s="5"/>
      <c r="AN700" s="5"/>
      <c r="AO700" s="5"/>
      <c r="AP700" s="5"/>
      <c r="AQ700" s="5"/>
      <c r="AR700" s="5"/>
      <c r="AS700" s="6"/>
      <c r="AU700" s="6"/>
      <c r="AW700" s="6"/>
      <c r="AY700" s="5"/>
      <c r="AZ700" s="5"/>
      <c r="BA700" s="5"/>
      <c r="BC700" s="6"/>
      <c r="BE700" s="6"/>
      <c r="BG700" s="6"/>
      <c r="BH700" s="5"/>
      <c r="BI700" s="5"/>
      <c r="BJ700" s="7"/>
    </row>
    <row r="701" s="1" customFormat="true" ht="14.25" hidden="false" customHeight="false" outlineLevel="0" collapsed="false">
      <c r="G701" s="2"/>
      <c r="M701" s="2"/>
      <c r="Z701" s="3"/>
      <c r="AL701" s="4"/>
      <c r="AM701" s="5"/>
      <c r="AN701" s="5"/>
      <c r="AO701" s="5"/>
      <c r="AP701" s="5"/>
      <c r="AQ701" s="5"/>
      <c r="AR701" s="5"/>
      <c r="AS701" s="6"/>
      <c r="AU701" s="6"/>
      <c r="AW701" s="6"/>
      <c r="AY701" s="5"/>
      <c r="AZ701" s="5"/>
      <c r="BA701" s="5"/>
      <c r="BC701" s="6"/>
      <c r="BE701" s="6"/>
      <c r="BG701" s="6"/>
      <c r="BH701" s="5"/>
      <c r="BI701" s="5"/>
      <c r="BJ701" s="7"/>
    </row>
    <row r="702" s="1" customFormat="true" ht="14.25" hidden="false" customHeight="false" outlineLevel="0" collapsed="false">
      <c r="G702" s="2"/>
      <c r="M702" s="2"/>
      <c r="Z702" s="3"/>
      <c r="AL702" s="4"/>
      <c r="AM702" s="5"/>
      <c r="AN702" s="5"/>
      <c r="AO702" s="5"/>
      <c r="AP702" s="5"/>
      <c r="AQ702" s="5"/>
      <c r="AR702" s="5"/>
      <c r="AS702" s="6"/>
      <c r="AU702" s="6"/>
      <c r="AW702" s="6"/>
      <c r="AY702" s="5"/>
      <c r="AZ702" s="5"/>
      <c r="BA702" s="5"/>
      <c r="BC702" s="6"/>
      <c r="BE702" s="6"/>
      <c r="BG702" s="6"/>
      <c r="BH702" s="5"/>
      <c r="BI702" s="5"/>
      <c r="BJ702" s="7"/>
    </row>
    <row r="703" s="1" customFormat="true" ht="14.25" hidden="false" customHeight="false" outlineLevel="0" collapsed="false">
      <c r="G703" s="2"/>
      <c r="M703" s="2"/>
      <c r="Z703" s="3"/>
      <c r="AL703" s="4"/>
      <c r="AM703" s="5"/>
      <c r="AN703" s="5"/>
      <c r="AO703" s="5"/>
      <c r="AP703" s="5"/>
      <c r="AQ703" s="5"/>
      <c r="AR703" s="5"/>
      <c r="AS703" s="6"/>
      <c r="AU703" s="6"/>
      <c r="AW703" s="6"/>
      <c r="AY703" s="5"/>
      <c r="AZ703" s="5"/>
      <c r="BA703" s="5"/>
      <c r="BC703" s="6"/>
      <c r="BE703" s="6"/>
      <c r="BG703" s="6"/>
      <c r="BH703" s="5"/>
      <c r="BI703" s="5"/>
      <c r="BJ703" s="7"/>
    </row>
    <row r="704" s="1" customFormat="true" ht="14.25" hidden="false" customHeight="false" outlineLevel="0" collapsed="false">
      <c r="G704" s="2"/>
      <c r="M704" s="2"/>
      <c r="Z704" s="3"/>
      <c r="AL704" s="4"/>
      <c r="AM704" s="5"/>
      <c r="AN704" s="5"/>
      <c r="AO704" s="5"/>
      <c r="AP704" s="5"/>
      <c r="AQ704" s="5"/>
      <c r="AR704" s="5"/>
      <c r="AS704" s="6"/>
      <c r="AU704" s="6"/>
      <c r="AW704" s="6"/>
      <c r="AY704" s="5"/>
      <c r="AZ704" s="5"/>
      <c r="BA704" s="5"/>
      <c r="BC704" s="6"/>
      <c r="BE704" s="6"/>
      <c r="BG704" s="6"/>
      <c r="BH704" s="5"/>
      <c r="BI704" s="5"/>
      <c r="BJ704" s="7"/>
    </row>
    <row r="705" s="1" customFormat="true" ht="14.25" hidden="false" customHeight="false" outlineLevel="0" collapsed="false">
      <c r="G705" s="2"/>
      <c r="M705" s="2"/>
      <c r="Z705" s="3"/>
      <c r="AL705" s="4"/>
      <c r="AM705" s="5"/>
      <c r="AN705" s="5"/>
      <c r="AO705" s="5"/>
      <c r="AP705" s="5"/>
      <c r="AQ705" s="5"/>
      <c r="AR705" s="5"/>
      <c r="AS705" s="6"/>
      <c r="AU705" s="6"/>
      <c r="AW705" s="6"/>
      <c r="AY705" s="5"/>
      <c r="AZ705" s="5"/>
      <c r="BA705" s="5"/>
      <c r="BC705" s="6"/>
      <c r="BE705" s="6"/>
      <c r="BG705" s="6"/>
      <c r="BH705" s="5"/>
      <c r="BI705" s="5"/>
      <c r="BJ705" s="7"/>
    </row>
    <row r="706" s="1" customFormat="true" ht="14.25" hidden="false" customHeight="false" outlineLevel="0" collapsed="false">
      <c r="G706" s="2"/>
      <c r="M706" s="2"/>
      <c r="Z706" s="3"/>
      <c r="AL706" s="4"/>
      <c r="AM706" s="5"/>
      <c r="AN706" s="5"/>
      <c r="AO706" s="5"/>
      <c r="AP706" s="5"/>
      <c r="AQ706" s="5"/>
      <c r="AR706" s="5"/>
      <c r="AS706" s="6"/>
      <c r="AU706" s="6"/>
      <c r="AW706" s="6"/>
      <c r="AY706" s="5"/>
      <c r="AZ706" s="5"/>
      <c r="BA706" s="5"/>
      <c r="BC706" s="6"/>
      <c r="BE706" s="6"/>
      <c r="BG706" s="6"/>
      <c r="BH706" s="5"/>
      <c r="BI706" s="5"/>
      <c r="BJ706" s="7"/>
    </row>
    <row r="707" s="1" customFormat="true" ht="14.25" hidden="false" customHeight="false" outlineLevel="0" collapsed="false">
      <c r="G707" s="2"/>
      <c r="M707" s="2"/>
      <c r="Z707" s="3"/>
      <c r="AL707" s="4"/>
      <c r="AM707" s="5"/>
      <c r="AN707" s="5"/>
      <c r="AO707" s="5"/>
      <c r="AP707" s="5"/>
      <c r="AQ707" s="5"/>
      <c r="AR707" s="5"/>
      <c r="AS707" s="6"/>
      <c r="AU707" s="6"/>
      <c r="AW707" s="6"/>
      <c r="AY707" s="5"/>
      <c r="AZ707" s="5"/>
      <c r="BA707" s="5"/>
      <c r="BC707" s="6"/>
      <c r="BE707" s="6"/>
      <c r="BG707" s="6"/>
      <c r="BH707" s="5"/>
      <c r="BI707" s="5"/>
      <c r="BJ707" s="7"/>
    </row>
    <row r="708" s="1" customFormat="true" ht="14.25" hidden="false" customHeight="false" outlineLevel="0" collapsed="false">
      <c r="G708" s="2"/>
      <c r="M708" s="2"/>
      <c r="Z708" s="3"/>
      <c r="AL708" s="4"/>
      <c r="AM708" s="5"/>
      <c r="AN708" s="5"/>
      <c r="AO708" s="5"/>
      <c r="AP708" s="5"/>
      <c r="AQ708" s="5"/>
      <c r="AR708" s="5"/>
      <c r="AS708" s="6"/>
      <c r="AU708" s="6"/>
      <c r="AW708" s="6"/>
      <c r="AY708" s="5"/>
      <c r="AZ708" s="5"/>
      <c r="BA708" s="5"/>
      <c r="BC708" s="6"/>
      <c r="BE708" s="6"/>
      <c r="BG708" s="6"/>
      <c r="BH708" s="5"/>
      <c r="BI708" s="5"/>
      <c r="BJ708" s="7"/>
    </row>
    <row r="709" s="1" customFormat="true" ht="14.25" hidden="false" customHeight="false" outlineLevel="0" collapsed="false">
      <c r="G709" s="2"/>
      <c r="M709" s="2"/>
      <c r="Z709" s="3"/>
      <c r="AL709" s="4"/>
      <c r="AM709" s="5"/>
      <c r="AN709" s="5"/>
      <c r="AO709" s="5"/>
      <c r="AP709" s="5"/>
      <c r="AQ709" s="5"/>
      <c r="AR709" s="5"/>
      <c r="AS709" s="6"/>
      <c r="AU709" s="6"/>
      <c r="AW709" s="6"/>
      <c r="AY709" s="5"/>
      <c r="AZ709" s="5"/>
      <c r="BA709" s="5"/>
      <c r="BC709" s="6"/>
      <c r="BE709" s="6"/>
      <c r="BG709" s="6"/>
      <c r="BH709" s="5"/>
      <c r="BI709" s="5"/>
      <c r="BJ709" s="7"/>
    </row>
    <row r="710" s="1" customFormat="true" ht="14.25" hidden="false" customHeight="false" outlineLevel="0" collapsed="false">
      <c r="G710" s="2"/>
      <c r="M710" s="2"/>
      <c r="Z710" s="3"/>
      <c r="AL710" s="4"/>
      <c r="AM710" s="5"/>
      <c r="AN710" s="5"/>
      <c r="AO710" s="5"/>
      <c r="AP710" s="5"/>
      <c r="AQ710" s="5"/>
      <c r="AR710" s="5"/>
      <c r="AS710" s="6"/>
      <c r="AU710" s="6"/>
      <c r="AW710" s="6"/>
      <c r="AY710" s="5"/>
      <c r="AZ710" s="5"/>
      <c r="BA710" s="5"/>
      <c r="BC710" s="6"/>
      <c r="BE710" s="6"/>
      <c r="BG710" s="6"/>
      <c r="BH710" s="5"/>
      <c r="BI710" s="5"/>
      <c r="BJ710" s="7"/>
    </row>
    <row r="711" s="1" customFormat="true" ht="14.25" hidden="false" customHeight="false" outlineLevel="0" collapsed="false">
      <c r="G711" s="2"/>
      <c r="M711" s="2"/>
      <c r="Z711" s="3"/>
      <c r="AL711" s="4"/>
      <c r="AM711" s="5"/>
      <c r="AN711" s="5"/>
      <c r="AO711" s="5"/>
      <c r="AP711" s="5"/>
      <c r="AQ711" s="5"/>
      <c r="AR711" s="5"/>
      <c r="AS711" s="6"/>
      <c r="AU711" s="6"/>
      <c r="AW711" s="6"/>
      <c r="AY711" s="5"/>
      <c r="AZ711" s="5"/>
      <c r="BA711" s="5"/>
      <c r="BC711" s="6"/>
      <c r="BE711" s="6"/>
      <c r="BG711" s="6"/>
      <c r="BH711" s="5"/>
      <c r="BI711" s="5"/>
      <c r="BJ711" s="7"/>
    </row>
    <row r="712" s="1" customFormat="true" ht="14.25" hidden="false" customHeight="false" outlineLevel="0" collapsed="false">
      <c r="G712" s="2"/>
      <c r="M712" s="2"/>
      <c r="Z712" s="3"/>
      <c r="AL712" s="4"/>
      <c r="AM712" s="5"/>
      <c r="AN712" s="5"/>
      <c r="AO712" s="5"/>
      <c r="AP712" s="5"/>
      <c r="AQ712" s="5"/>
      <c r="AR712" s="5"/>
      <c r="AS712" s="6"/>
      <c r="AU712" s="6"/>
      <c r="AW712" s="6"/>
      <c r="AY712" s="5"/>
      <c r="AZ712" s="5"/>
      <c r="BA712" s="5"/>
      <c r="BC712" s="6"/>
      <c r="BE712" s="6"/>
      <c r="BG712" s="6"/>
      <c r="BH712" s="5"/>
      <c r="BI712" s="5"/>
      <c r="BJ712" s="7"/>
    </row>
    <row r="713" s="1" customFormat="true" ht="14.25" hidden="false" customHeight="false" outlineLevel="0" collapsed="false">
      <c r="G713" s="2"/>
      <c r="M713" s="2"/>
      <c r="Z713" s="3"/>
      <c r="AL713" s="4"/>
      <c r="AM713" s="5"/>
      <c r="AN713" s="5"/>
      <c r="AO713" s="5"/>
      <c r="AP713" s="5"/>
      <c r="AQ713" s="5"/>
      <c r="AR713" s="5"/>
      <c r="AS713" s="6"/>
      <c r="AU713" s="6"/>
      <c r="AW713" s="6"/>
      <c r="AY713" s="5"/>
      <c r="AZ713" s="5"/>
      <c r="BA713" s="5"/>
      <c r="BC713" s="6"/>
      <c r="BE713" s="6"/>
      <c r="BG713" s="6"/>
      <c r="BH713" s="5"/>
      <c r="BI713" s="5"/>
      <c r="BJ713" s="7"/>
    </row>
    <row r="714" s="1" customFormat="true" ht="14.25" hidden="false" customHeight="false" outlineLevel="0" collapsed="false">
      <c r="G714" s="2"/>
      <c r="M714" s="2"/>
      <c r="Z714" s="3"/>
      <c r="AL714" s="4"/>
      <c r="AM714" s="5"/>
      <c r="AN714" s="5"/>
      <c r="AO714" s="5"/>
      <c r="AP714" s="5"/>
      <c r="AQ714" s="5"/>
      <c r="AR714" s="5"/>
      <c r="AS714" s="6"/>
      <c r="AU714" s="6"/>
      <c r="AW714" s="6"/>
      <c r="AY714" s="5"/>
      <c r="AZ714" s="5"/>
      <c r="BA714" s="5"/>
      <c r="BC714" s="6"/>
      <c r="BE714" s="6"/>
      <c r="BG714" s="6"/>
      <c r="BH714" s="5"/>
      <c r="BI714" s="5"/>
      <c r="BJ714" s="7"/>
    </row>
    <row r="715" s="1" customFormat="true" ht="14.25" hidden="false" customHeight="false" outlineLevel="0" collapsed="false">
      <c r="G715" s="2"/>
      <c r="M715" s="2"/>
      <c r="Z715" s="3"/>
      <c r="AL715" s="4"/>
      <c r="AM715" s="5"/>
      <c r="AN715" s="5"/>
      <c r="AO715" s="5"/>
      <c r="AP715" s="5"/>
      <c r="AQ715" s="5"/>
      <c r="AR715" s="5"/>
      <c r="AS715" s="6"/>
      <c r="AU715" s="6"/>
      <c r="AW715" s="6"/>
      <c r="AY715" s="5"/>
      <c r="AZ715" s="5"/>
      <c r="BA715" s="5"/>
      <c r="BC715" s="6"/>
      <c r="BE715" s="6"/>
      <c r="BG715" s="6"/>
      <c r="BH715" s="5"/>
      <c r="BI715" s="5"/>
      <c r="BJ715" s="7"/>
    </row>
    <row r="716" s="1" customFormat="true" ht="14.25" hidden="false" customHeight="false" outlineLevel="0" collapsed="false">
      <c r="G716" s="2"/>
      <c r="M716" s="2"/>
      <c r="Z716" s="3"/>
      <c r="AL716" s="4"/>
      <c r="AM716" s="5"/>
      <c r="AN716" s="5"/>
      <c r="AO716" s="5"/>
      <c r="AP716" s="5"/>
      <c r="AQ716" s="5"/>
      <c r="AR716" s="5"/>
      <c r="AS716" s="6"/>
      <c r="AU716" s="6"/>
      <c r="AW716" s="6"/>
      <c r="AY716" s="5"/>
      <c r="AZ716" s="5"/>
      <c r="BA716" s="5"/>
      <c r="BC716" s="6"/>
      <c r="BE716" s="6"/>
      <c r="BG716" s="6"/>
      <c r="BH716" s="5"/>
      <c r="BI716" s="5"/>
      <c r="BJ716" s="7"/>
    </row>
    <row r="717" s="1" customFormat="true" ht="14.25" hidden="false" customHeight="false" outlineLevel="0" collapsed="false">
      <c r="G717" s="2"/>
      <c r="M717" s="2"/>
      <c r="Z717" s="3"/>
      <c r="AL717" s="4"/>
      <c r="AM717" s="5"/>
      <c r="AN717" s="5"/>
      <c r="AO717" s="5"/>
      <c r="AP717" s="5"/>
      <c r="AQ717" s="5"/>
      <c r="AR717" s="5"/>
      <c r="AS717" s="6"/>
      <c r="AU717" s="6"/>
      <c r="AW717" s="6"/>
      <c r="AY717" s="5"/>
      <c r="AZ717" s="5"/>
      <c r="BA717" s="5"/>
      <c r="BC717" s="6"/>
      <c r="BE717" s="6"/>
      <c r="BG717" s="6"/>
      <c r="BH717" s="5"/>
      <c r="BI717" s="5"/>
      <c r="BJ717" s="7"/>
    </row>
    <row r="718" s="1" customFormat="true" ht="14.25" hidden="false" customHeight="false" outlineLevel="0" collapsed="false">
      <c r="G718" s="2"/>
      <c r="M718" s="2"/>
      <c r="Z718" s="3"/>
      <c r="AL718" s="4"/>
      <c r="AM718" s="5"/>
      <c r="AN718" s="5"/>
      <c r="AO718" s="5"/>
      <c r="AP718" s="5"/>
      <c r="AQ718" s="5"/>
      <c r="AR718" s="5"/>
      <c r="AS718" s="6"/>
      <c r="AU718" s="6"/>
      <c r="AW718" s="6"/>
      <c r="AY718" s="5"/>
      <c r="AZ718" s="5"/>
      <c r="BA718" s="5"/>
      <c r="BC718" s="6"/>
      <c r="BE718" s="6"/>
      <c r="BG718" s="6"/>
      <c r="BH718" s="5"/>
      <c r="BI718" s="5"/>
      <c r="BJ718" s="7"/>
    </row>
    <row r="719" s="1" customFormat="true" ht="14.25" hidden="false" customHeight="false" outlineLevel="0" collapsed="false">
      <c r="G719" s="2"/>
      <c r="M719" s="2"/>
      <c r="Z719" s="3"/>
      <c r="AL719" s="4"/>
      <c r="AM719" s="5"/>
      <c r="AN719" s="5"/>
      <c r="AO719" s="5"/>
      <c r="AP719" s="5"/>
      <c r="AQ719" s="5"/>
      <c r="AR719" s="5"/>
      <c r="AS719" s="6"/>
      <c r="AU719" s="6"/>
      <c r="AW719" s="6"/>
      <c r="AY719" s="5"/>
      <c r="AZ719" s="5"/>
      <c r="BA719" s="5"/>
      <c r="BC719" s="6"/>
      <c r="BE719" s="6"/>
      <c r="BG719" s="6"/>
      <c r="BH719" s="5"/>
      <c r="BI719" s="5"/>
      <c r="BJ719" s="7"/>
    </row>
    <row r="720" s="1" customFormat="true" ht="14.25" hidden="false" customHeight="false" outlineLevel="0" collapsed="false">
      <c r="G720" s="2"/>
      <c r="M720" s="2"/>
      <c r="Z720" s="3"/>
      <c r="AL720" s="4"/>
      <c r="AM720" s="5"/>
      <c r="AN720" s="5"/>
      <c r="AO720" s="5"/>
      <c r="AP720" s="5"/>
      <c r="AQ720" s="5"/>
      <c r="AR720" s="5"/>
      <c r="AS720" s="6"/>
      <c r="AU720" s="6"/>
      <c r="AW720" s="6"/>
      <c r="AY720" s="5"/>
      <c r="AZ720" s="5"/>
      <c r="BA720" s="5"/>
      <c r="BC720" s="6"/>
      <c r="BE720" s="6"/>
      <c r="BG720" s="6"/>
      <c r="BH720" s="5"/>
      <c r="BI720" s="5"/>
      <c r="BJ720" s="7"/>
    </row>
    <row r="721" s="1" customFormat="true" ht="14.25" hidden="false" customHeight="false" outlineLevel="0" collapsed="false">
      <c r="G721" s="2"/>
      <c r="M721" s="2"/>
      <c r="Z721" s="3"/>
      <c r="AL721" s="4"/>
      <c r="AM721" s="5"/>
      <c r="AN721" s="5"/>
      <c r="AO721" s="5"/>
      <c r="AP721" s="5"/>
      <c r="AQ721" s="5"/>
      <c r="AR721" s="5"/>
      <c r="AS721" s="6"/>
      <c r="AU721" s="6"/>
      <c r="AW721" s="6"/>
      <c r="AY721" s="5"/>
      <c r="AZ721" s="5"/>
      <c r="BA721" s="5"/>
      <c r="BC721" s="6"/>
      <c r="BE721" s="6"/>
      <c r="BG721" s="6"/>
      <c r="BH721" s="5"/>
      <c r="BI721" s="5"/>
      <c r="BJ721" s="7"/>
    </row>
    <row r="722" s="1" customFormat="true" ht="14.25" hidden="false" customHeight="false" outlineLevel="0" collapsed="false">
      <c r="G722" s="2"/>
      <c r="M722" s="2"/>
      <c r="Z722" s="3"/>
      <c r="AL722" s="4"/>
      <c r="AM722" s="5"/>
      <c r="AN722" s="5"/>
      <c r="AO722" s="5"/>
      <c r="AP722" s="5"/>
      <c r="AQ722" s="5"/>
      <c r="AR722" s="5"/>
      <c r="AS722" s="6"/>
      <c r="AU722" s="6"/>
      <c r="AW722" s="6"/>
      <c r="AY722" s="5"/>
      <c r="AZ722" s="5"/>
      <c r="BA722" s="5"/>
      <c r="BC722" s="6"/>
      <c r="BE722" s="6"/>
      <c r="BG722" s="6"/>
      <c r="BH722" s="5"/>
      <c r="BI722" s="5"/>
      <c r="BJ722" s="7"/>
    </row>
    <row r="723" s="1" customFormat="true" ht="14.25" hidden="false" customHeight="false" outlineLevel="0" collapsed="false">
      <c r="G723" s="2"/>
      <c r="M723" s="2"/>
      <c r="Z723" s="3"/>
      <c r="AL723" s="4"/>
      <c r="AM723" s="5"/>
      <c r="AN723" s="5"/>
      <c r="AO723" s="5"/>
      <c r="AP723" s="5"/>
      <c r="AQ723" s="5"/>
      <c r="AR723" s="5"/>
      <c r="AS723" s="6"/>
      <c r="AU723" s="6"/>
      <c r="AW723" s="6"/>
      <c r="AY723" s="5"/>
      <c r="AZ723" s="5"/>
      <c r="BA723" s="5"/>
      <c r="BC723" s="6"/>
      <c r="BE723" s="6"/>
      <c r="BG723" s="6"/>
      <c r="BH723" s="5"/>
      <c r="BI723" s="5"/>
      <c r="BJ723" s="7"/>
    </row>
    <row r="724" s="1" customFormat="true" ht="14.25" hidden="false" customHeight="false" outlineLevel="0" collapsed="false">
      <c r="G724" s="2"/>
      <c r="M724" s="2"/>
      <c r="Z724" s="3"/>
      <c r="AL724" s="4"/>
      <c r="AM724" s="5"/>
      <c r="AN724" s="5"/>
      <c r="AO724" s="5"/>
      <c r="AP724" s="5"/>
      <c r="AQ724" s="5"/>
      <c r="AR724" s="5"/>
      <c r="AS724" s="6"/>
      <c r="AU724" s="6"/>
      <c r="AW724" s="6"/>
      <c r="AY724" s="5"/>
      <c r="AZ724" s="5"/>
      <c r="BA724" s="5"/>
      <c r="BC724" s="6"/>
      <c r="BE724" s="6"/>
      <c r="BG724" s="6"/>
      <c r="BH724" s="5"/>
      <c r="BI724" s="5"/>
      <c r="BJ724" s="7"/>
    </row>
    <row r="725" s="1" customFormat="true" ht="14.25" hidden="false" customHeight="false" outlineLevel="0" collapsed="false">
      <c r="G725" s="2"/>
      <c r="M725" s="2"/>
      <c r="Z725" s="3"/>
      <c r="AL725" s="4"/>
      <c r="AM725" s="5"/>
      <c r="AN725" s="5"/>
      <c r="AO725" s="5"/>
      <c r="AP725" s="5"/>
      <c r="AQ725" s="5"/>
      <c r="AR725" s="5"/>
      <c r="AS725" s="6"/>
      <c r="AU725" s="6"/>
      <c r="AW725" s="6"/>
      <c r="AY725" s="5"/>
      <c r="AZ725" s="5"/>
      <c r="BA725" s="5"/>
      <c r="BC725" s="6"/>
      <c r="BE725" s="6"/>
      <c r="BG725" s="6"/>
      <c r="BH725" s="5"/>
      <c r="BI725" s="5"/>
      <c r="BJ725" s="7"/>
    </row>
    <row r="726" s="1" customFormat="true" ht="14.25" hidden="false" customHeight="false" outlineLevel="0" collapsed="false">
      <c r="G726" s="2"/>
      <c r="M726" s="2"/>
      <c r="Z726" s="3"/>
      <c r="AL726" s="4"/>
      <c r="AM726" s="5"/>
      <c r="AN726" s="5"/>
      <c r="AO726" s="5"/>
      <c r="AP726" s="5"/>
      <c r="AQ726" s="5"/>
      <c r="AR726" s="5"/>
      <c r="AS726" s="6"/>
      <c r="AU726" s="6"/>
      <c r="AW726" s="6"/>
      <c r="AY726" s="5"/>
      <c r="AZ726" s="5"/>
      <c r="BA726" s="5"/>
      <c r="BC726" s="6"/>
      <c r="BE726" s="6"/>
      <c r="BG726" s="6"/>
      <c r="BH726" s="5"/>
      <c r="BI726" s="5"/>
      <c r="BJ726" s="7"/>
    </row>
    <row r="727" s="1" customFormat="true" ht="14.25" hidden="false" customHeight="false" outlineLevel="0" collapsed="false">
      <c r="G727" s="2"/>
      <c r="M727" s="2"/>
      <c r="Z727" s="3"/>
      <c r="AL727" s="4"/>
      <c r="AM727" s="5"/>
      <c r="AN727" s="5"/>
      <c r="AO727" s="5"/>
      <c r="AP727" s="5"/>
      <c r="AQ727" s="5"/>
      <c r="AR727" s="5"/>
      <c r="AS727" s="6"/>
      <c r="AU727" s="6"/>
      <c r="AW727" s="6"/>
      <c r="AY727" s="5"/>
      <c r="AZ727" s="5"/>
      <c r="BA727" s="5"/>
      <c r="BC727" s="6"/>
      <c r="BE727" s="6"/>
      <c r="BG727" s="6"/>
      <c r="BH727" s="5"/>
      <c r="BI727" s="5"/>
      <c r="BJ727" s="7"/>
    </row>
    <row r="728" s="1" customFormat="true" ht="14.25" hidden="false" customHeight="false" outlineLevel="0" collapsed="false">
      <c r="G728" s="2"/>
      <c r="M728" s="2"/>
      <c r="Z728" s="3"/>
      <c r="AL728" s="4"/>
      <c r="AM728" s="5"/>
      <c r="AN728" s="5"/>
      <c r="AO728" s="5"/>
      <c r="AP728" s="5"/>
      <c r="AQ728" s="5"/>
      <c r="AR728" s="5"/>
      <c r="AS728" s="6"/>
      <c r="AU728" s="6"/>
      <c r="AW728" s="6"/>
      <c r="AY728" s="5"/>
      <c r="AZ728" s="5"/>
      <c r="BA728" s="5"/>
      <c r="BC728" s="6"/>
      <c r="BE728" s="6"/>
      <c r="BG728" s="6"/>
      <c r="BH728" s="5"/>
      <c r="BI728" s="5"/>
      <c r="BJ728" s="7"/>
    </row>
    <row r="729" s="1" customFormat="true" ht="14.25" hidden="false" customHeight="false" outlineLevel="0" collapsed="false">
      <c r="G729" s="2"/>
      <c r="M729" s="2"/>
      <c r="Z729" s="3"/>
      <c r="AL729" s="4"/>
      <c r="AM729" s="5"/>
      <c r="AN729" s="5"/>
      <c r="AO729" s="5"/>
      <c r="AP729" s="5"/>
      <c r="AQ729" s="5"/>
      <c r="AR729" s="5"/>
      <c r="AS729" s="6"/>
      <c r="AU729" s="6"/>
      <c r="AW729" s="6"/>
      <c r="AY729" s="5"/>
      <c r="AZ729" s="5"/>
      <c r="BA729" s="5"/>
      <c r="BC729" s="6"/>
      <c r="BE729" s="6"/>
      <c r="BG729" s="6"/>
      <c r="BH729" s="5"/>
      <c r="BI729" s="5"/>
      <c r="BJ729" s="7"/>
    </row>
    <row r="730" s="1" customFormat="true" ht="14.25" hidden="false" customHeight="false" outlineLevel="0" collapsed="false">
      <c r="G730" s="2"/>
      <c r="M730" s="2"/>
      <c r="Z730" s="3"/>
      <c r="AL730" s="4"/>
      <c r="AM730" s="5"/>
      <c r="AN730" s="5"/>
      <c r="AO730" s="5"/>
      <c r="AP730" s="5"/>
      <c r="AQ730" s="5"/>
      <c r="AR730" s="5"/>
      <c r="AS730" s="6"/>
      <c r="AU730" s="6"/>
      <c r="AW730" s="6"/>
      <c r="AY730" s="5"/>
      <c r="AZ730" s="5"/>
      <c r="BA730" s="5"/>
      <c r="BC730" s="6"/>
      <c r="BE730" s="6"/>
      <c r="BG730" s="6"/>
      <c r="BH730" s="5"/>
      <c r="BI730" s="5"/>
      <c r="BJ730" s="7"/>
    </row>
    <row r="731" s="1" customFormat="true" ht="14.25" hidden="false" customHeight="false" outlineLevel="0" collapsed="false">
      <c r="G731" s="2"/>
      <c r="M731" s="2"/>
      <c r="Z731" s="3"/>
      <c r="AL731" s="4"/>
      <c r="AM731" s="5"/>
      <c r="AN731" s="5"/>
      <c r="AO731" s="5"/>
      <c r="AP731" s="5"/>
      <c r="AQ731" s="5"/>
      <c r="AR731" s="5"/>
      <c r="AS731" s="6"/>
      <c r="AU731" s="6"/>
      <c r="AW731" s="6"/>
      <c r="AY731" s="5"/>
      <c r="AZ731" s="5"/>
      <c r="BA731" s="5"/>
      <c r="BC731" s="6"/>
      <c r="BE731" s="6"/>
      <c r="BG731" s="6"/>
      <c r="BH731" s="5"/>
      <c r="BI731" s="5"/>
      <c r="BJ731" s="7"/>
    </row>
    <row r="732" s="1" customFormat="true" ht="14.25" hidden="false" customHeight="false" outlineLevel="0" collapsed="false">
      <c r="G732" s="2"/>
      <c r="M732" s="2"/>
      <c r="Z732" s="3"/>
      <c r="AL732" s="4"/>
      <c r="AM732" s="5"/>
      <c r="AN732" s="5"/>
      <c r="AO732" s="5"/>
      <c r="AP732" s="5"/>
      <c r="AQ732" s="5"/>
      <c r="AR732" s="5"/>
      <c r="AS732" s="6"/>
      <c r="AU732" s="6"/>
      <c r="AW732" s="6"/>
      <c r="AY732" s="5"/>
      <c r="AZ732" s="5"/>
      <c r="BA732" s="5"/>
      <c r="BC732" s="6"/>
      <c r="BE732" s="6"/>
      <c r="BG732" s="6"/>
      <c r="BH732" s="5"/>
      <c r="BI732" s="5"/>
      <c r="BJ732" s="7"/>
    </row>
    <row r="733" s="1" customFormat="true" ht="14.25" hidden="false" customHeight="false" outlineLevel="0" collapsed="false">
      <c r="G733" s="2"/>
      <c r="M733" s="2"/>
      <c r="Z733" s="3"/>
      <c r="AL733" s="4"/>
      <c r="AM733" s="5"/>
      <c r="AN733" s="5"/>
      <c r="AO733" s="5"/>
      <c r="AP733" s="5"/>
      <c r="AQ733" s="5"/>
      <c r="AR733" s="5"/>
      <c r="AS733" s="6"/>
      <c r="AU733" s="6"/>
      <c r="AW733" s="6"/>
      <c r="AY733" s="5"/>
      <c r="AZ733" s="5"/>
      <c r="BA733" s="5"/>
      <c r="BC733" s="6"/>
      <c r="BE733" s="6"/>
      <c r="BG733" s="6"/>
      <c r="BH733" s="5"/>
      <c r="BI733" s="5"/>
      <c r="BJ733" s="7"/>
    </row>
    <row r="734" s="1" customFormat="true" ht="14.25" hidden="false" customHeight="false" outlineLevel="0" collapsed="false">
      <c r="G734" s="2"/>
      <c r="M734" s="2"/>
      <c r="Z734" s="3"/>
      <c r="AL734" s="4"/>
      <c r="AM734" s="5"/>
      <c r="AN734" s="5"/>
      <c r="AO734" s="5"/>
      <c r="AP734" s="5"/>
      <c r="AQ734" s="5"/>
      <c r="AR734" s="5"/>
      <c r="AS734" s="6"/>
      <c r="AU734" s="6"/>
      <c r="AW734" s="6"/>
      <c r="AY734" s="5"/>
      <c r="AZ734" s="5"/>
      <c r="BA734" s="5"/>
      <c r="BC734" s="6"/>
      <c r="BE734" s="6"/>
      <c r="BG734" s="6"/>
      <c r="BH734" s="5"/>
      <c r="BI734" s="5"/>
      <c r="BJ734" s="7"/>
    </row>
    <row r="735" s="1" customFormat="true" ht="14.25" hidden="false" customHeight="false" outlineLevel="0" collapsed="false">
      <c r="G735" s="2"/>
      <c r="M735" s="2"/>
      <c r="Z735" s="3"/>
      <c r="AL735" s="4"/>
      <c r="AM735" s="5"/>
      <c r="AN735" s="5"/>
      <c r="AO735" s="5"/>
      <c r="AP735" s="5"/>
      <c r="AQ735" s="5"/>
      <c r="AR735" s="5"/>
      <c r="AS735" s="6"/>
      <c r="AU735" s="6"/>
      <c r="AW735" s="6"/>
      <c r="AY735" s="5"/>
      <c r="AZ735" s="5"/>
      <c r="BA735" s="5"/>
      <c r="BC735" s="6"/>
      <c r="BE735" s="6"/>
      <c r="BG735" s="6"/>
      <c r="BH735" s="5"/>
      <c r="BI735" s="5"/>
      <c r="BJ735" s="7"/>
    </row>
    <row r="736" s="1" customFormat="true" ht="14.25" hidden="false" customHeight="false" outlineLevel="0" collapsed="false">
      <c r="G736" s="2"/>
      <c r="M736" s="2"/>
      <c r="Z736" s="3"/>
      <c r="AL736" s="4"/>
      <c r="AM736" s="5"/>
      <c r="AN736" s="5"/>
      <c r="AO736" s="5"/>
      <c r="AP736" s="5"/>
      <c r="AQ736" s="5"/>
      <c r="AR736" s="5"/>
      <c r="AS736" s="6"/>
      <c r="AU736" s="6"/>
      <c r="AW736" s="6"/>
      <c r="AY736" s="5"/>
      <c r="AZ736" s="5"/>
      <c r="BA736" s="5"/>
      <c r="BC736" s="6"/>
      <c r="BE736" s="6"/>
      <c r="BG736" s="6"/>
      <c r="BH736" s="5"/>
      <c r="BI736" s="5"/>
      <c r="BJ736" s="7"/>
    </row>
    <row r="737" s="1" customFormat="true" ht="14.25" hidden="false" customHeight="false" outlineLevel="0" collapsed="false">
      <c r="G737" s="2"/>
      <c r="M737" s="2"/>
      <c r="Z737" s="3"/>
      <c r="AL737" s="4"/>
      <c r="AM737" s="5"/>
      <c r="AN737" s="5"/>
      <c r="AO737" s="5"/>
      <c r="AP737" s="5"/>
      <c r="AQ737" s="5"/>
      <c r="AR737" s="5"/>
      <c r="AS737" s="6"/>
      <c r="AU737" s="6"/>
      <c r="AW737" s="6"/>
      <c r="AY737" s="5"/>
      <c r="AZ737" s="5"/>
      <c r="BA737" s="5"/>
      <c r="BC737" s="6"/>
      <c r="BE737" s="6"/>
      <c r="BG737" s="6"/>
      <c r="BH737" s="5"/>
      <c r="BI737" s="5"/>
      <c r="BJ737" s="7"/>
    </row>
    <row r="738" s="1" customFormat="true" ht="14.25" hidden="false" customHeight="false" outlineLevel="0" collapsed="false">
      <c r="G738" s="2"/>
      <c r="M738" s="2"/>
      <c r="Z738" s="3"/>
      <c r="AL738" s="4"/>
      <c r="AM738" s="5"/>
      <c r="AN738" s="5"/>
      <c r="AO738" s="5"/>
      <c r="AP738" s="5"/>
      <c r="AQ738" s="5"/>
      <c r="AR738" s="5"/>
      <c r="AS738" s="6"/>
      <c r="AU738" s="6"/>
      <c r="AW738" s="6"/>
      <c r="AY738" s="5"/>
      <c r="AZ738" s="5"/>
      <c r="BA738" s="5"/>
      <c r="BC738" s="6"/>
      <c r="BE738" s="6"/>
      <c r="BG738" s="6"/>
      <c r="BH738" s="5"/>
      <c r="BI738" s="5"/>
      <c r="BJ738" s="7"/>
    </row>
    <row r="739" s="1" customFormat="true" ht="14.25" hidden="false" customHeight="false" outlineLevel="0" collapsed="false">
      <c r="G739" s="2"/>
      <c r="M739" s="2"/>
      <c r="Z739" s="3"/>
      <c r="AL739" s="4"/>
      <c r="AM739" s="5"/>
      <c r="AN739" s="5"/>
      <c r="AO739" s="5"/>
      <c r="AP739" s="5"/>
      <c r="AQ739" s="5"/>
      <c r="AR739" s="5"/>
      <c r="AS739" s="6"/>
      <c r="AU739" s="6"/>
      <c r="AW739" s="6"/>
      <c r="AY739" s="5"/>
      <c r="AZ739" s="5"/>
      <c r="BA739" s="5"/>
      <c r="BC739" s="6"/>
      <c r="BE739" s="6"/>
      <c r="BG739" s="6"/>
      <c r="BH739" s="5"/>
      <c r="BI739" s="5"/>
      <c r="BJ739" s="7"/>
    </row>
    <row r="740" s="1" customFormat="true" ht="14.25" hidden="false" customHeight="false" outlineLevel="0" collapsed="false">
      <c r="G740" s="2"/>
      <c r="M740" s="2"/>
      <c r="Z740" s="3"/>
      <c r="AL740" s="4"/>
      <c r="AM740" s="5"/>
      <c r="AN740" s="5"/>
      <c r="AO740" s="5"/>
      <c r="AP740" s="5"/>
      <c r="AQ740" s="5"/>
      <c r="AR740" s="5"/>
      <c r="AS740" s="6"/>
      <c r="AU740" s="6"/>
      <c r="AW740" s="6"/>
      <c r="AY740" s="5"/>
      <c r="AZ740" s="5"/>
      <c r="BA740" s="5"/>
      <c r="BC740" s="6"/>
      <c r="BE740" s="6"/>
      <c r="BG740" s="6"/>
      <c r="BH740" s="5"/>
      <c r="BI740" s="5"/>
      <c r="BJ740" s="7"/>
    </row>
    <row r="741" s="1" customFormat="true" ht="14.25" hidden="false" customHeight="false" outlineLevel="0" collapsed="false">
      <c r="G741" s="2"/>
      <c r="M741" s="2"/>
      <c r="Z741" s="3"/>
      <c r="AL741" s="4"/>
      <c r="AM741" s="5"/>
      <c r="AN741" s="5"/>
      <c r="AO741" s="5"/>
      <c r="AP741" s="5"/>
      <c r="AQ741" s="5"/>
      <c r="AR741" s="5"/>
      <c r="AS741" s="6"/>
      <c r="AU741" s="6"/>
      <c r="AW741" s="6"/>
      <c r="AY741" s="5"/>
      <c r="AZ741" s="5"/>
      <c r="BA741" s="5"/>
      <c r="BC741" s="6"/>
      <c r="BE741" s="6"/>
      <c r="BG741" s="6"/>
      <c r="BH741" s="5"/>
      <c r="BI741" s="5"/>
      <c r="BJ741" s="7"/>
    </row>
    <row r="742" s="1" customFormat="true" ht="14.25" hidden="false" customHeight="false" outlineLevel="0" collapsed="false">
      <c r="G742" s="2"/>
      <c r="M742" s="2"/>
      <c r="Z742" s="3"/>
      <c r="AL742" s="4"/>
      <c r="AM742" s="5"/>
      <c r="AN742" s="5"/>
      <c r="AO742" s="5"/>
      <c r="AP742" s="5"/>
      <c r="AQ742" s="5"/>
      <c r="AR742" s="5"/>
      <c r="AS742" s="6"/>
      <c r="AU742" s="6"/>
      <c r="AW742" s="6"/>
      <c r="AY742" s="5"/>
      <c r="AZ742" s="5"/>
      <c r="BA742" s="5"/>
      <c r="BC742" s="6"/>
      <c r="BE742" s="6"/>
      <c r="BG742" s="6"/>
      <c r="BH742" s="5"/>
      <c r="BI742" s="5"/>
      <c r="BJ742" s="7"/>
    </row>
    <row r="743" s="1" customFormat="true" ht="14.25" hidden="false" customHeight="false" outlineLevel="0" collapsed="false">
      <c r="G743" s="2"/>
      <c r="M743" s="2"/>
      <c r="Z743" s="3"/>
      <c r="AL743" s="4"/>
      <c r="AM743" s="5"/>
      <c r="AN743" s="5"/>
      <c r="AO743" s="5"/>
      <c r="AP743" s="5"/>
      <c r="AQ743" s="5"/>
      <c r="AR743" s="5"/>
      <c r="AS743" s="6"/>
      <c r="AU743" s="6"/>
      <c r="AW743" s="6"/>
      <c r="AY743" s="5"/>
      <c r="AZ743" s="5"/>
      <c r="BA743" s="5"/>
      <c r="BC743" s="6"/>
      <c r="BE743" s="6"/>
      <c r="BG743" s="6"/>
      <c r="BH743" s="5"/>
      <c r="BI743" s="5"/>
      <c r="BJ743" s="7"/>
    </row>
    <row r="744" s="1" customFormat="true" ht="14.25" hidden="false" customHeight="false" outlineLevel="0" collapsed="false">
      <c r="G744" s="2"/>
      <c r="M744" s="2"/>
      <c r="Z744" s="3"/>
      <c r="AL744" s="4"/>
      <c r="AM744" s="5"/>
      <c r="AN744" s="5"/>
      <c r="AO744" s="5"/>
      <c r="AP744" s="5"/>
      <c r="AQ744" s="5"/>
      <c r="AR744" s="5"/>
      <c r="AS744" s="6"/>
      <c r="AU744" s="6"/>
      <c r="AW744" s="6"/>
      <c r="AY744" s="5"/>
      <c r="AZ744" s="5"/>
      <c r="BA744" s="5"/>
      <c r="BC744" s="6"/>
      <c r="BE744" s="6"/>
      <c r="BG744" s="6"/>
      <c r="BH744" s="5"/>
      <c r="BI744" s="5"/>
      <c r="BJ744" s="7"/>
    </row>
    <row r="745" s="1" customFormat="true" ht="14.25" hidden="false" customHeight="false" outlineLevel="0" collapsed="false">
      <c r="G745" s="2"/>
      <c r="M745" s="2"/>
      <c r="Z745" s="3"/>
      <c r="AL745" s="4"/>
      <c r="AM745" s="5"/>
      <c r="AN745" s="5"/>
      <c r="AO745" s="5"/>
      <c r="AP745" s="5"/>
      <c r="AQ745" s="5"/>
      <c r="AR745" s="5"/>
      <c r="AS745" s="6"/>
      <c r="AU745" s="6"/>
      <c r="AW745" s="6"/>
      <c r="AY745" s="5"/>
      <c r="AZ745" s="5"/>
      <c r="BA745" s="5"/>
      <c r="BC745" s="6"/>
      <c r="BE745" s="6"/>
      <c r="BG745" s="6"/>
      <c r="BH745" s="5"/>
      <c r="BI745" s="5"/>
      <c r="BJ745" s="7"/>
    </row>
    <row r="746" s="1" customFormat="true" ht="14.25" hidden="false" customHeight="false" outlineLevel="0" collapsed="false">
      <c r="G746" s="2"/>
      <c r="M746" s="2"/>
      <c r="Z746" s="3"/>
      <c r="AL746" s="4"/>
      <c r="AM746" s="5"/>
      <c r="AN746" s="5"/>
      <c r="AO746" s="5"/>
      <c r="AP746" s="5"/>
      <c r="AQ746" s="5"/>
      <c r="AR746" s="5"/>
      <c r="AS746" s="6"/>
      <c r="AU746" s="6"/>
      <c r="AW746" s="6"/>
      <c r="AY746" s="5"/>
      <c r="AZ746" s="5"/>
      <c r="BA746" s="5"/>
      <c r="BC746" s="6"/>
      <c r="BE746" s="6"/>
      <c r="BG746" s="6"/>
      <c r="BH746" s="5"/>
      <c r="BI746" s="5"/>
      <c r="BJ746" s="7"/>
    </row>
    <row r="747" s="1" customFormat="true" ht="14.25" hidden="false" customHeight="false" outlineLevel="0" collapsed="false">
      <c r="G747" s="2"/>
      <c r="M747" s="2"/>
      <c r="Z747" s="3"/>
      <c r="AL747" s="4"/>
      <c r="AM747" s="5"/>
      <c r="AN747" s="5"/>
      <c r="AO747" s="5"/>
      <c r="AP747" s="5"/>
      <c r="AQ747" s="5"/>
      <c r="AR747" s="5"/>
      <c r="AS747" s="6"/>
      <c r="AU747" s="6"/>
      <c r="AW747" s="6"/>
      <c r="AY747" s="5"/>
      <c r="AZ747" s="5"/>
      <c r="BA747" s="5"/>
      <c r="BC747" s="6"/>
      <c r="BE747" s="6"/>
      <c r="BG747" s="6"/>
      <c r="BH747" s="5"/>
      <c r="BI747" s="5"/>
      <c r="BJ747" s="7"/>
    </row>
    <row r="748" s="1" customFormat="true" ht="14.25" hidden="false" customHeight="false" outlineLevel="0" collapsed="false">
      <c r="G748" s="2"/>
      <c r="M748" s="2"/>
      <c r="Z748" s="3"/>
      <c r="AL748" s="4"/>
      <c r="AM748" s="5"/>
      <c r="AN748" s="5"/>
      <c r="AO748" s="5"/>
      <c r="AP748" s="5"/>
      <c r="AQ748" s="5"/>
      <c r="AR748" s="5"/>
      <c r="AS748" s="6"/>
      <c r="AU748" s="6"/>
      <c r="AW748" s="6"/>
      <c r="AY748" s="5"/>
      <c r="AZ748" s="5"/>
      <c r="BA748" s="5"/>
      <c r="BC748" s="6"/>
      <c r="BE748" s="6"/>
      <c r="BG748" s="6"/>
      <c r="BH748" s="5"/>
      <c r="BI748" s="5"/>
      <c r="BJ748" s="7"/>
    </row>
    <row r="749" s="1" customFormat="true" ht="14.25" hidden="false" customHeight="false" outlineLevel="0" collapsed="false">
      <c r="G749" s="2"/>
      <c r="M749" s="2"/>
      <c r="Z749" s="3"/>
      <c r="AL749" s="4"/>
      <c r="AM749" s="5"/>
      <c r="AN749" s="5"/>
      <c r="AO749" s="5"/>
      <c r="AP749" s="5"/>
      <c r="AQ749" s="5"/>
      <c r="AR749" s="5"/>
      <c r="AS749" s="6"/>
      <c r="AU749" s="6"/>
      <c r="AW749" s="6"/>
      <c r="AY749" s="5"/>
      <c r="AZ749" s="5"/>
      <c r="BA749" s="5"/>
      <c r="BC749" s="6"/>
      <c r="BE749" s="6"/>
      <c r="BG749" s="6"/>
      <c r="BH749" s="5"/>
      <c r="BI749" s="5"/>
      <c r="BJ749" s="7"/>
    </row>
    <row r="750" s="1" customFormat="true" ht="14.25" hidden="false" customHeight="false" outlineLevel="0" collapsed="false">
      <c r="G750" s="2"/>
      <c r="M750" s="2"/>
      <c r="Z750" s="3"/>
      <c r="AL750" s="4"/>
      <c r="AM750" s="5"/>
      <c r="AN750" s="5"/>
      <c r="AO750" s="5"/>
      <c r="AP750" s="5"/>
      <c r="AQ750" s="5"/>
      <c r="AR750" s="5"/>
      <c r="AS750" s="6"/>
      <c r="AU750" s="6"/>
      <c r="AW750" s="6"/>
      <c r="AY750" s="5"/>
      <c r="AZ750" s="5"/>
      <c r="BA750" s="5"/>
      <c r="BC750" s="6"/>
      <c r="BE750" s="6"/>
      <c r="BG750" s="6"/>
      <c r="BH750" s="5"/>
      <c r="BI750" s="5"/>
      <c r="BJ750" s="7"/>
    </row>
    <row r="751" s="1" customFormat="true" ht="14.25" hidden="false" customHeight="false" outlineLevel="0" collapsed="false">
      <c r="G751" s="2"/>
      <c r="M751" s="2"/>
      <c r="Z751" s="3"/>
      <c r="AL751" s="4"/>
      <c r="AM751" s="5"/>
      <c r="AN751" s="5"/>
      <c r="AO751" s="5"/>
      <c r="AP751" s="5"/>
      <c r="AQ751" s="5"/>
      <c r="AR751" s="5"/>
      <c r="AS751" s="6"/>
      <c r="AU751" s="6"/>
      <c r="AW751" s="6"/>
      <c r="AY751" s="5"/>
      <c r="AZ751" s="5"/>
      <c r="BA751" s="5"/>
      <c r="BC751" s="6"/>
      <c r="BE751" s="6"/>
      <c r="BG751" s="6"/>
      <c r="BH751" s="5"/>
      <c r="BI751" s="5"/>
      <c r="BJ751" s="7"/>
    </row>
    <row r="752" s="1" customFormat="true" ht="14.25" hidden="false" customHeight="false" outlineLevel="0" collapsed="false">
      <c r="G752" s="2"/>
      <c r="M752" s="2"/>
      <c r="Z752" s="3"/>
      <c r="AL752" s="4"/>
      <c r="AM752" s="5"/>
      <c r="AN752" s="5"/>
      <c r="AO752" s="5"/>
      <c r="AP752" s="5"/>
      <c r="AQ752" s="5"/>
      <c r="AR752" s="5"/>
      <c r="AS752" s="6"/>
      <c r="AU752" s="6"/>
      <c r="AW752" s="6"/>
      <c r="AY752" s="5"/>
      <c r="AZ752" s="5"/>
      <c r="BA752" s="5"/>
      <c r="BC752" s="6"/>
      <c r="BE752" s="6"/>
      <c r="BG752" s="6"/>
      <c r="BH752" s="5"/>
      <c r="BI752" s="5"/>
      <c r="BJ752" s="7"/>
    </row>
    <row r="753" s="1" customFormat="true" ht="14.25" hidden="false" customHeight="false" outlineLevel="0" collapsed="false">
      <c r="G753" s="2"/>
      <c r="M753" s="2"/>
      <c r="Z753" s="3"/>
      <c r="AL753" s="4"/>
      <c r="AM753" s="5"/>
      <c r="AN753" s="5"/>
      <c r="AO753" s="5"/>
      <c r="AP753" s="5"/>
      <c r="AQ753" s="5"/>
      <c r="AR753" s="5"/>
      <c r="AS753" s="6"/>
      <c r="AU753" s="6"/>
      <c r="AW753" s="6"/>
      <c r="AY753" s="5"/>
      <c r="AZ753" s="5"/>
      <c r="BA753" s="5"/>
      <c r="BC753" s="6"/>
      <c r="BE753" s="6"/>
      <c r="BG753" s="6"/>
      <c r="BH753" s="5"/>
      <c r="BI753" s="5"/>
      <c r="BJ753" s="7"/>
    </row>
    <row r="754" s="1" customFormat="true" ht="14.25" hidden="false" customHeight="false" outlineLevel="0" collapsed="false">
      <c r="G754" s="2"/>
      <c r="M754" s="2"/>
      <c r="Z754" s="3"/>
      <c r="AL754" s="4"/>
      <c r="AM754" s="5"/>
      <c r="AN754" s="5"/>
      <c r="AO754" s="5"/>
      <c r="AP754" s="5"/>
      <c r="AQ754" s="5"/>
      <c r="AR754" s="5"/>
      <c r="AS754" s="6"/>
      <c r="AU754" s="6"/>
      <c r="AW754" s="6"/>
      <c r="AY754" s="5"/>
      <c r="AZ754" s="5"/>
      <c r="BA754" s="5"/>
      <c r="BC754" s="6"/>
      <c r="BE754" s="6"/>
      <c r="BG754" s="6"/>
      <c r="BH754" s="5"/>
      <c r="BI754" s="5"/>
      <c r="BJ754" s="7"/>
    </row>
    <row r="755" s="1" customFormat="true" ht="14.25" hidden="false" customHeight="false" outlineLevel="0" collapsed="false">
      <c r="G755" s="2"/>
      <c r="M755" s="2"/>
      <c r="Z755" s="3"/>
      <c r="AL755" s="4"/>
      <c r="AM755" s="5"/>
      <c r="AN755" s="5"/>
      <c r="AO755" s="5"/>
      <c r="AP755" s="5"/>
      <c r="AQ755" s="5"/>
      <c r="AR755" s="5"/>
      <c r="AS755" s="6"/>
      <c r="AU755" s="6"/>
      <c r="AW755" s="6"/>
      <c r="AY755" s="5"/>
      <c r="AZ755" s="5"/>
      <c r="BA755" s="5"/>
      <c r="BC755" s="6"/>
      <c r="BE755" s="6"/>
      <c r="BG755" s="6"/>
      <c r="BH755" s="5"/>
      <c r="BI755" s="5"/>
      <c r="BJ755" s="7"/>
    </row>
    <row r="756" s="1" customFormat="true" ht="14.25" hidden="false" customHeight="false" outlineLevel="0" collapsed="false">
      <c r="G756" s="2"/>
      <c r="M756" s="2"/>
      <c r="Z756" s="3"/>
      <c r="AL756" s="4"/>
      <c r="AM756" s="5"/>
      <c r="AN756" s="5"/>
      <c r="AO756" s="5"/>
      <c r="AP756" s="5"/>
      <c r="AQ756" s="5"/>
      <c r="AR756" s="5"/>
      <c r="AS756" s="6"/>
      <c r="AU756" s="6"/>
      <c r="AW756" s="6"/>
      <c r="AY756" s="5"/>
      <c r="AZ756" s="5"/>
      <c r="BA756" s="5"/>
      <c r="BC756" s="6"/>
      <c r="BE756" s="6"/>
      <c r="BG756" s="6"/>
      <c r="BH756" s="5"/>
      <c r="BI756" s="5"/>
      <c r="BJ756" s="7"/>
    </row>
    <row r="757" s="1" customFormat="true" ht="14.25" hidden="false" customHeight="false" outlineLevel="0" collapsed="false">
      <c r="G757" s="2"/>
      <c r="M757" s="2"/>
      <c r="Z757" s="3"/>
      <c r="AL757" s="4"/>
      <c r="AM757" s="5"/>
      <c r="AN757" s="5"/>
      <c r="AO757" s="5"/>
      <c r="AP757" s="5"/>
      <c r="AQ757" s="5"/>
      <c r="AR757" s="5"/>
      <c r="AS757" s="6"/>
      <c r="AU757" s="6"/>
      <c r="AW757" s="6"/>
      <c r="AY757" s="5"/>
      <c r="AZ757" s="5"/>
      <c r="BA757" s="5"/>
      <c r="BC757" s="6"/>
      <c r="BE757" s="6"/>
      <c r="BG757" s="6"/>
      <c r="BH757" s="5"/>
      <c r="BI757" s="5"/>
      <c r="BJ757" s="7"/>
    </row>
    <row r="758" s="1" customFormat="true" ht="14.25" hidden="false" customHeight="false" outlineLevel="0" collapsed="false">
      <c r="G758" s="2"/>
      <c r="M758" s="2"/>
      <c r="Z758" s="3"/>
      <c r="AL758" s="4"/>
      <c r="AM758" s="5"/>
      <c r="AN758" s="5"/>
      <c r="AO758" s="5"/>
      <c r="AP758" s="5"/>
      <c r="AQ758" s="5"/>
      <c r="AR758" s="5"/>
      <c r="AS758" s="6"/>
      <c r="AU758" s="6"/>
      <c r="AW758" s="6"/>
      <c r="AY758" s="5"/>
      <c r="AZ758" s="5"/>
      <c r="BA758" s="5"/>
      <c r="BC758" s="6"/>
      <c r="BE758" s="6"/>
      <c r="BG758" s="6"/>
      <c r="BH758" s="5"/>
      <c r="BI758" s="5"/>
      <c r="BJ758" s="7"/>
    </row>
    <row r="759" s="1" customFormat="true" ht="14.25" hidden="false" customHeight="false" outlineLevel="0" collapsed="false">
      <c r="G759" s="2"/>
      <c r="M759" s="2"/>
      <c r="Z759" s="3"/>
      <c r="AL759" s="4"/>
      <c r="AM759" s="5"/>
      <c r="AN759" s="5"/>
      <c r="AO759" s="5"/>
      <c r="AP759" s="5"/>
      <c r="AQ759" s="5"/>
      <c r="AR759" s="5"/>
      <c r="AS759" s="6"/>
      <c r="AU759" s="6"/>
      <c r="AW759" s="6"/>
      <c r="AY759" s="5"/>
      <c r="AZ759" s="5"/>
      <c r="BA759" s="5"/>
      <c r="BC759" s="6"/>
      <c r="BE759" s="6"/>
      <c r="BG759" s="6"/>
      <c r="BH759" s="5"/>
      <c r="BI759" s="5"/>
      <c r="BJ759" s="7"/>
    </row>
    <row r="760" s="1" customFormat="true" ht="14.25" hidden="false" customHeight="false" outlineLevel="0" collapsed="false">
      <c r="G760" s="2"/>
      <c r="M760" s="2"/>
      <c r="Z760" s="3"/>
      <c r="AL760" s="4"/>
      <c r="AM760" s="5"/>
      <c r="AN760" s="5"/>
      <c r="AO760" s="5"/>
      <c r="AP760" s="5"/>
      <c r="AQ760" s="5"/>
      <c r="AR760" s="5"/>
      <c r="AS760" s="6"/>
      <c r="AU760" s="6"/>
      <c r="AW760" s="6"/>
      <c r="AY760" s="5"/>
      <c r="AZ760" s="5"/>
      <c r="BA760" s="5"/>
      <c r="BC760" s="6"/>
      <c r="BE760" s="6"/>
      <c r="BG760" s="6"/>
      <c r="BH760" s="5"/>
      <c r="BI760" s="5"/>
      <c r="BJ760" s="7"/>
    </row>
    <row r="761" s="1" customFormat="true" ht="14.25" hidden="false" customHeight="false" outlineLevel="0" collapsed="false">
      <c r="G761" s="2"/>
      <c r="M761" s="2"/>
      <c r="Z761" s="3"/>
      <c r="AL761" s="4"/>
      <c r="AM761" s="5"/>
      <c r="AN761" s="5"/>
      <c r="AO761" s="5"/>
      <c r="AP761" s="5"/>
      <c r="AQ761" s="5"/>
      <c r="AR761" s="5"/>
      <c r="AS761" s="6"/>
      <c r="AU761" s="6"/>
      <c r="AW761" s="6"/>
      <c r="AY761" s="5"/>
      <c r="AZ761" s="5"/>
      <c r="BA761" s="5"/>
      <c r="BC761" s="6"/>
      <c r="BE761" s="6"/>
      <c r="BG761" s="6"/>
      <c r="BH761" s="5"/>
      <c r="BI761" s="5"/>
      <c r="BJ761" s="7"/>
    </row>
    <row r="762" s="1" customFormat="true" ht="14.25" hidden="false" customHeight="false" outlineLevel="0" collapsed="false">
      <c r="G762" s="2"/>
      <c r="M762" s="2"/>
      <c r="Z762" s="3"/>
      <c r="AL762" s="4"/>
      <c r="AM762" s="5"/>
      <c r="AN762" s="5"/>
      <c r="AO762" s="5"/>
      <c r="AP762" s="5"/>
      <c r="AQ762" s="5"/>
      <c r="AR762" s="5"/>
      <c r="AS762" s="6"/>
      <c r="AU762" s="6"/>
      <c r="AW762" s="6"/>
      <c r="AY762" s="5"/>
      <c r="AZ762" s="5"/>
      <c r="BA762" s="5"/>
      <c r="BC762" s="6"/>
      <c r="BE762" s="6"/>
      <c r="BG762" s="6"/>
      <c r="BH762" s="5"/>
      <c r="BI762" s="5"/>
      <c r="BJ762" s="7"/>
    </row>
    <row r="763" s="1" customFormat="true" ht="14.25" hidden="false" customHeight="false" outlineLevel="0" collapsed="false">
      <c r="G763" s="2"/>
      <c r="M763" s="2"/>
      <c r="Z763" s="3"/>
      <c r="AL763" s="4"/>
      <c r="AM763" s="5"/>
      <c r="AN763" s="5"/>
      <c r="AO763" s="5"/>
      <c r="AP763" s="5"/>
      <c r="AQ763" s="5"/>
      <c r="AR763" s="5"/>
      <c r="AS763" s="6"/>
      <c r="AU763" s="6"/>
      <c r="AW763" s="6"/>
      <c r="AY763" s="5"/>
      <c r="AZ763" s="5"/>
      <c r="BA763" s="5"/>
      <c r="BC763" s="6"/>
      <c r="BE763" s="6"/>
      <c r="BG763" s="6"/>
      <c r="BH763" s="5"/>
      <c r="BI763" s="5"/>
      <c r="BJ763" s="7"/>
    </row>
    <row r="764" s="1" customFormat="true" ht="14.25" hidden="false" customHeight="false" outlineLevel="0" collapsed="false">
      <c r="G764" s="2"/>
      <c r="M764" s="2"/>
      <c r="Z764" s="3"/>
      <c r="AL764" s="4"/>
      <c r="AM764" s="5"/>
      <c r="AN764" s="5"/>
      <c r="AO764" s="5"/>
      <c r="AP764" s="5"/>
      <c r="AQ764" s="5"/>
      <c r="AR764" s="5"/>
      <c r="AS764" s="6"/>
      <c r="AU764" s="6"/>
      <c r="AW764" s="6"/>
      <c r="AY764" s="5"/>
      <c r="AZ764" s="5"/>
      <c r="BA764" s="5"/>
      <c r="BC764" s="6"/>
      <c r="BE764" s="6"/>
      <c r="BG764" s="6"/>
      <c r="BH764" s="5"/>
      <c r="BI764" s="5"/>
      <c r="BJ764" s="7"/>
    </row>
    <row r="765" s="1" customFormat="true" ht="14.25" hidden="false" customHeight="false" outlineLevel="0" collapsed="false">
      <c r="G765" s="2"/>
      <c r="M765" s="2"/>
      <c r="Z765" s="3"/>
      <c r="AL765" s="4"/>
      <c r="AM765" s="5"/>
      <c r="AN765" s="5"/>
      <c r="AO765" s="5"/>
      <c r="AP765" s="5"/>
      <c r="AQ765" s="5"/>
      <c r="AR765" s="5"/>
      <c r="AS765" s="6"/>
      <c r="AU765" s="6"/>
      <c r="AW765" s="6"/>
      <c r="AY765" s="5"/>
      <c r="AZ765" s="5"/>
      <c r="BA765" s="5"/>
      <c r="BC765" s="6"/>
      <c r="BE765" s="6"/>
      <c r="BG765" s="6"/>
      <c r="BH765" s="5"/>
      <c r="BI765" s="5"/>
      <c r="BJ765" s="7"/>
    </row>
    <row r="766" s="1" customFormat="true" ht="14.25" hidden="false" customHeight="false" outlineLevel="0" collapsed="false">
      <c r="G766" s="2"/>
      <c r="M766" s="2"/>
      <c r="Z766" s="3"/>
      <c r="AL766" s="4"/>
      <c r="AM766" s="5"/>
      <c r="AN766" s="5"/>
      <c r="AO766" s="5"/>
      <c r="AP766" s="5"/>
      <c r="AQ766" s="5"/>
      <c r="AR766" s="5"/>
      <c r="AS766" s="6"/>
      <c r="AU766" s="6"/>
      <c r="AW766" s="6"/>
      <c r="AY766" s="5"/>
      <c r="AZ766" s="5"/>
      <c r="BA766" s="5"/>
      <c r="BC766" s="6"/>
      <c r="BE766" s="6"/>
      <c r="BG766" s="6"/>
      <c r="BH766" s="5"/>
      <c r="BI766" s="5"/>
      <c r="BJ766" s="7"/>
    </row>
    <row r="767" s="1" customFormat="true" ht="14.25" hidden="false" customHeight="false" outlineLevel="0" collapsed="false">
      <c r="G767" s="2"/>
      <c r="M767" s="2"/>
      <c r="Z767" s="3"/>
      <c r="AL767" s="4"/>
      <c r="AM767" s="5"/>
      <c r="AN767" s="5"/>
      <c r="AO767" s="5"/>
      <c r="AP767" s="5"/>
      <c r="AQ767" s="5"/>
      <c r="AR767" s="5"/>
      <c r="AS767" s="6"/>
      <c r="AU767" s="6"/>
      <c r="AW767" s="6"/>
      <c r="AY767" s="5"/>
      <c r="AZ767" s="5"/>
      <c r="BA767" s="5"/>
      <c r="BC767" s="6"/>
      <c r="BE767" s="6"/>
      <c r="BG767" s="6"/>
      <c r="BH767" s="5"/>
      <c r="BI767" s="5"/>
      <c r="BJ767" s="7"/>
    </row>
    <row r="768" s="1" customFormat="true" ht="14.25" hidden="false" customHeight="false" outlineLevel="0" collapsed="false">
      <c r="G768" s="2"/>
      <c r="M768" s="2"/>
      <c r="Z768" s="3"/>
      <c r="AL768" s="4"/>
      <c r="AM768" s="5"/>
      <c r="AN768" s="5"/>
      <c r="AO768" s="5"/>
      <c r="AP768" s="5"/>
      <c r="AQ768" s="5"/>
      <c r="AR768" s="5"/>
      <c r="AS768" s="6"/>
      <c r="AU768" s="6"/>
      <c r="AW768" s="6"/>
      <c r="AY768" s="5"/>
      <c r="AZ768" s="5"/>
      <c r="BA768" s="5"/>
      <c r="BC768" s="6"/>
      <c r="BE768" s="6"/>
      <c r="BG768" s="6"/>
      <c r="BH768" s="5"/>
      <c r="BI768" s="5"/>
      <c r="BJ768" s="7"/>
    </row>
    <row r="769" s="1" customFormat="true" ht="14.25" hidden="false" customHeight="false" outlineLevel="0" collapsed="false">
      <c r="G769" s="2"/>
      <c r="M769" s="2"/>
      <c r="Z769" s="3"/>
      <c r="AL769" s="4"/>
      <c r="AM769" s="5"/>
      <c r="AN769" s="5"/>
      <c r="AO769" s="5"/>
      <c r="AP769" s="5"/>
      <c r="AQ769" s="5"/>
      <c r="AR769" s="5"/>
      <c r="AS769" s="6"/>
      <c r="AU769" s="6"/>
      <c r="AW769" s="6"/>
      <c r="AY769" s="5"/>
      <c r="AZ769" s="5"/>
      <c r="BA769" s="5"/>
      <c r="BC769" s="6"/>
      <c r="BE769" s="6"/>
      <c r="BG769" s="6"/>
      <c r="BH769" s="5"/>
      <c r="BI769" s="5"/>
      <c r="BJ769" s="7"/>
    </row>
    <row r="770" s="1" customFormat="true" ht="14.25" hidden="false" customHeight="false" outlineLevel="0" collapsed="false">
      <c r="G770" s="2"/>
      <c r="M770" s="2"/>
      <c r="Z770" s="3"/>
      <c r="AL770" s="4"/>
      <c r="AM770" s="5"/>
      <c r="AN770" s="5"/>
      <c r="AO770" s="5"/>
      <c r="AP770" s="5"/>
      <c r="AQ770" s="5"/>
      <c r="AR770" s="5"/>
      <c r="AS770" s="6"/>
      <c r="AU770" s="6"/>
      <c r="AW770" s="6"/>
      <c r="AY770" s="5"/>
      <c r="AZ770" s="5"/>
      <c r="BA770" s="5"/>
      <c r="BC770" s="6"/>
      <c r="BE770" s="6"/>
      <c r="BG770" s="6"/>
      <c r="BH770" s="5"/>
      <c r="BI770" s="5"/>
      <c r="BJ770" s="7"/>
    </row>
    <row r="771" s="1" customFormat="true" ht="14.25" hidden="false" customHeight="false" outlineLevel="0" collapsed="false">
      <c r="G771" s="2"/>
      <c r="M771" s="2"/>
      <c r="Z771" s="3"/>
      <c r="AL771" s="4"/>
      <c r="AM771" s="5"/>
      <c r="AN771" s="5"/>
      <c r="AO771" s="5"/>
      <c r="AP771" s="5"/>
      <c r="AQ771" s="5"/>
      <c r="AR771" s="5"/>
      <c r="AS771" s="6"/>
      <c r="AU771" s="6"/>
      <c r="AW771" s="6"/>
      <c r="AY771" s="5"/>
      <c r="AZ771" s="5"/>
      <c r="BA771" s="5"/>
      <c r="BC771" s="6"/>
      <c r="BE771" s="6"/>
      <c r="BG771" s="6"/>
      <c r="BH771" s="5"/>
      <c r="BI771" s="5"/>
      <c r="BJ771" s="7"/>
    </row>
    <row r="772" s="1" customFormat="true" ht="14.25" hidden="false" customHeight="false" outlineLevel="0" collapsed="false">
      <c r="G772" s="2"/>
      <c r="M772" s="2"/>
      <c r="Z772" s="3"/>
      <c r="AL772" s="4"/>
      <c r="AM772" s="5"/>
      <c r="AN772" s="5"/>
      <c r="AO772" s="5"/>
      <c r="AP772" s="5"/>
      <c r="AQ772" s="5"/>
      <c r="AR772" s="5"/>
      <c r="AS772" s="6"/>
      <c r="AU772" s="6"/>
      <c r="AW772" s="6"/>
      <c r="AY772" s="5"/>
      <c r="AZ772" s="5"/>
      <c r="BA772" s="5"/>
      <c r="BC772" s="6"/>
      <c r="BE772" s="6"/>
      <c r="BG772" s="6"/>
      <c r="BH772" s="5"/>
      <c r="BI772" s="5"/>
      <c r="BJ772" s="7"/>
    </row>
    <row r="773" s="1" customFormat="true" ht="14.25" hidden="false" customHeight="false" outlineLevel="0" collapsed="false">
      <c r="G773" s="2"/>
      <c r="M773" s="2"/>
      <c r="Z773" s="3"/>
      <c r="AL773" s="4"/>
      <c r="AM773" s="5"/>
      <c r="AN773" s="5"/>
      <c r="AO773" s="5"/>
      <c r="AP773" s="5"/>
      <c r="AQ773" s="5"/>
      <c r="AR773" s="5"/>
      <c r="AS773" s="6"/>
      <c r="AU773" s="6"/>
      <c r="AW773" s="6"/>
      <c r="AY773" s="5"/>
      <c r="AZ773" s="5"/>
      <c r="BA773" s="5"/>
      <c r="BC773" s="6"/>
      <c r="BE773" s="6"/>
      <c r="BG773" s="6"/>
      <c r="BH773" s="5"/>
      <c r="BI773" s="5"/>
      <c r="BJ773" s="7"/>
    </row>
    <row r="774" s="1" customFormat="true" ht="14.25" hidden="false" customHeight="false" outlineLevel="0" collapsed="false">
      <c r="G774" s="2"/>
      <c r="M774" s="2"/>
      <c r="Z774" s="3"/>
      <c r="AL774" s="4"/>
      <c r="AM774" s="5"/>
      <c r="AN774" s="5"/>
      <c r="AO774" s="5"/>
      <c r="AP774" s="5"/>
      <c r="AQ774" s="5"/>
      <c r="AR774" s="5"/>
      <c r="AS774" s="6"/>
      <c r="AU774" s="6"/>
      <c r="AW774" s="6"/>
      <c r="AY774" s="5"/>
      <c r="AZ774" s="5"/>
      <c r="BA774" s="5"/>
      <c r="BC774" s="6"/>
      <c r="BE774" s="6"/>
      <c r="BG774" s="6"/>
      <c r="BH774" s="5"/>
      <c r="BI774" s="5"/>
      <c r="BJ774" s="7"/>
    </row>
    <row r="775" s="1" customFormat="true" ht="14.25" hidden="false" customHeight="false" outlineLevel="0" collapsed="false">
      <c r="G775" s="2"/>
      <c r="M775" s="2"/>
      <c r="Z775" s="3"/>
      <c r="AL775" s="4"/>
      <c r="AM775" s="5"/>
      <c r="AN775" s="5"/>
      <c r="AO775" s="5"/>
      <c r="AP775" s="5"/>
      <c r="AQ775" s="5"/>
      <c r="AR775" s="5"/>
      <c r="AS775" s="6"/>
      <c r="AU775" s="6"/>
      <c r="AW775" s="6"/>
      <c r="AY775" s="5"/>
      <c r="AZ775" s="5"/>
      <c r="BA775" s="5"/>
      <c r="BC775" s="6"/>
      <c r="BE775" s="6"/>
      <c r="BG775" s="6"/>
      <c r="BH775" s="5"/>
      <c r="BI775" s="5"/>
      <c r="BJ775" s="7"/>
    </row>
    <row r="776" s="1" customFormat="true" ht="14.25" hidden="false" customHeight="false" outlineLevel="0" collapsed="false">
      <c r="G776" s="2"/>
      <c r="M776" s="2"/>
      <c r="Z776" s="3"/>
      <c r="AL776" s="4"/>
      <c r="AM776" s="5"/>
      <c r="AN776" s="5"/>
      <c r="AO776" s="5"/>
      <c r="AP776" s="5"/>
      <c r="AQ776" s="5"/>
      <c r="AR776" s="5"/>
      <c r="AS776" s="6"/>
      <c r="AU776" s="6"/>
      <c r="AW776" s="6"/>
      <c r="AY776" s="5"/>
      <c r="AZ776" s="5"/>
      <c r="BA776" s="5"/>
      <c r="BC776" s="6"/>
      <c r="BE776" s="6"/>
      <c r="BG776" s="6"/>
      <c r="BH776" s="5"/>
      <c r="BI776" s="5"/>
      <c r="BJ776" s="7"/>
    </row>
    <row r="777" s="1" customFormat="true" ht="14.25" hidden="false" customHeight="false" outlineLevel="0" collapsed="false">
      <c r="G777" s="2"/>
      <c r="M777" s="2"/>
      <c r="Z777" s="3"/>
      <c r="AL777" s="4"/>
      <c r="AM777" s="5"/>
      <c r="AN777" s="5"/>
      <c r="AO777" s="5"/>
      <c r="AP777" s="5"/>
      <c r="AQ777" s="5"/>
      <c r="AR777" s="5"/>
      <c r="AS777" s="6"/>
      <c r="AU777" s="6"/>
      <c r="AW777" s="6"/>
      <c r="AY777" s="5"/>
      <c r="AZ777" s="5"/>
      <c r="BA777" s="5"/>
      <c r="BC777" s="6"/>
      <c r="BE777" s="6"/>
      <c r="BG777" s="6"/>
      <c r="BH777" s="5"/>
      <c r="BI777" s="5"/>
      <c r="BJ777" s="7"/>
    </row>
    <row r="778" s="1" customFormat="true" ht="14.25" hidden="false" customHeight="false" outlineLevel="0" collapsed="false">
      <c r="G778" s="2"/>
      <c r="M778" s="2"/>
      <c r="Z778" s="3"/>
      <c r="AL778" s="4"/>
      <c r="AM778" s="5"/>
      <c r="AN778" s="5"/>
      <c r="AO778" s="5"/>
      <c r="AP778" s="5"/>
      <c r="AQ778" s="5"/>
      <c r="AR778" s="5"/>
      <c r="AS778" s="6"/>
      <c r="AU778" s="6"/>
      <c r="AW778" s="6"/>
      <c r="AY778" s="5"/>
      <c r="AZ778" s="5"/>
      <c r="BA778" s="5"/>
      <c r="BC778" s="6"/>
      <c r="BE778" s="6"/>
      <c r="BG778" s="6"/>
      <c r="BH778" s="5"/>
      <c r="BI778" s="5"/>
      <c r="BJ778" s="7"/>
    </row>
    <row r="779" s="1" customFormat="true" ht="14.25" hidden="false" customHeight="false" outlineLevel="0" collapsed="false">
      <c r="G779" s="2"/>
      <c r="M779" s="2"/>
      <c r="Z779" s="3"/>
      <c r="AL779" s="4"/>
      <c r="AM779" s="5"/>
      <c r="AN779" s="5"/>
      <c r="AO779" s="5"/>
      <c r="AP779" s="5"/>
      <c r="AQ779" s="5"/>
      <c r="AR779" s="5"/>
      <c r="AS779" s="6"/>
      <c r="AU779" s="6"/>
      <c r="AW779" s="6"/>
      <c r="AY779" s="5"/>
      <c r="AZ779" s="5"/>
      <c r="BA779" s="5"/>
      <c r="BC779" s="6"/>
      <c r="BE779" s="6"/>
      <c r="BG779" s="6"/>
      <c r="BH779" s="5"/>
      <c r="BI779" s="5"/>
      <c r="BJ779" s="7"/>
    </row>
    <row r="780" s="1" customFormat="true" ht="14.25" hidden="false" customHeight="false" outlineLevel="0" collapsed="false">
      <c r="G780" s="2"/>
      <c r="M780" s="2"/>
      <c r="Z780" s="3"/>
      <c r="AL780" s="4"/>
      <c r="AM780" s="5"/>
      <c r="AN780" s="5"/>
      <c r="AO780" s="5"/>
      <c r="AP780" s="5"/>
      <c r="AQ780" s="5"/>
      <c r="AR780" s="5"/>
      <c r="AS780" s="6"/>
      <c r="AU780" s="6"/>
      <c r="AW780" s="6"/>
      <c r="AY780" s="5"/>
      <c r="AZ780" s="5"/>
      <c r="BA780" s="5"/>
      <c r="BC780" s="6"/>
      <c r="BE780" s="6"/>
      <c r="BG780" s="6"/>
      <c r="BH780" s="5"/>
      <c r="BI780" s="5"/>
      <c r="BJ780" s="7"/>
    </row>
    <row r="781" s="1" customFormat="true" ht="14.25" hidden="false" customHeight="false" outlineLevel="0" collapsed="false">
      <c r="G781" s="2"/>
      <c r="M781" s="2"/>
      <c r="Z781" s="3"/>
      <c r="AL781" s="4"/>
      <c r="AM781" s="5"/>
      <c r="AN781" s="5"/>
      <c r="AO781" s="5"/>
      <c r="AP781" s="5"/>
      <c r="AQ781" s="5"/>
      <c r="AR781" s="5"/>
      <c r="AS781" s="6"/>
      <c r="AU781" s="6"/>
      <c r="AW781" s="6"/>
      <c r="AY781" s="5"/>
      <c r="AZ781" s="5"/>
      <c r="BA781" s="5"/>
      <c r="BC781" s="6"/>
      <c r="BE781" s="6"/>
      <c r="BG781" s="6"/>
      <c r="BH781" s="5"/>
      <c r="BI781" s="5"/>
      <c r="BJ781" s="7"/>
    </row>
    <row r="782" s="1" customFormat="true" ht="14.25" hidden="false" customHeight="false" outlineLevel="0" collapsed="false">
      <c r="G782" s="2"/>
      <c r="M782" s="2"/>
      <c r="Z782" s="3"/>
      <c r="AL782" s="4"/>
      <c r="AM782" s="5"/>
      <c r="AN782" s="5"/>
      <c r="AO782" s="5"/>
      <c r="AP782" s="5"/>
      <c r="AQ782" s="5"/>
      <c r="AR782" s="5"/>
      <c r="AS782" s="6"/>
      <c r="AU782" s="6"/>
      <c r="AW782" s="6"/>
      <c r="AY782" s="5"/>
      <c r="AZ782" s="5"/>
      <c r="BA782" s="5"/>
      <c r="BC782" s="6"/>
      <c r="BE782" s="6"/>
      <c r="BG782" s="6"/>
      <c r="BH782" s="5"/>
      <c r="BI782" s="5"/>
      <c r="BJ782" s="7"/>
    </row>
    <row r="783" s="1" customFormat="true" ht="14.25" hidden="false" customHeight="false" outlineLevel="0" collapsed="false">
      <c r="G783" s="2"/>
      <c r="M783" s="2"/>
      <c r="Z783" s="3"/>
      <c r="AL783" s="4"/>
      <c r="AM783" s="5"/>
      <c r="AN783" s="5"/>
      <c r="AO783" s="5"/>
      <c r="AP783" s="5"/>
      <c r="AQ783" s="5"/>
      <c r="AR783" s="5"/>
      <c r="AS783" s="6"/>
      <c r="AU783" s="6"/>
      <c r="AW783" s="6"/>
      <c r="AY783" s="5"/>
      <c r="AZ783" s="5"/>
      <c r="BA783" s="5"/>
      <c r="BC783" s="6"/>
      <c r="BE783" s="6"/>
      <c r="BG783" s="6"/>
      <c r="BH783" s="5"/>
      <c r="BI783" s="5"/>
      <c r="BJ783" s="7"/>
    </row>
    <row r="784" s="1" customFormat="true" ht="14.25" hidden="false" customHeight="false" outlineLevel="0" collapsed="false">
      <c r="G784" s="2"/>
      <c r="M784" s="2"/>
      <c r="Z784" s="3"/>
      <c r="AL784" s="4"/>
      <c r="AM784" s="5"/>
      <c r="AN784" s="5"/>
      <c r="AO784" s="5"/>
      <c r="AP784" s="5"/>
      <c r="AQ784" s="5"/>
      <c r="AR784" s="5"/>
      <c r="AS784" s="6"/>
      <c r="AU784" s="6"/>
      <c r="AW784" s="6"/>
      <c r="AY784" s="5"/>
      <c r="AZ784" s="5"/>
      <c r="BA784" s="5"/>
      <c r="BC784" s="6"/>
      <c r="BE784" s="6"/>
      <c r="BG784" s="6"/>
      <c r="BH784" s="5"/>
      <c r="BI784" s="5"/>
      <c r="BJ784" s="7"/>
    </row>
    <row r="785" s="1" customFormat="true" ht="14.25" hidden="false" customHeight="false" outlineLevel="0" collapsed="false">
      <c r="G785" s="2"/>
      <c r="M785" s="2"/>
      <c r="Z785" s="3"/>
      <c r="AL785" s="4"/>
      <c r="AM785" s="5"/>
      <c r="AN785" s="5"/>
      <c r="AO785" s="5"/>
      <c r="AP785" s="5"/>
      <c r="AQ785" s="5"/>
      <c r="AR785" s="5"/>
      <c r="AS785" s="6"/>
      <c r="AU785" s="6"/>
      <c r="AW785" s="6"/>
      <c r="AY785" s="5"/>
      <c r="AZ785" s="5"/>
      <c r="BA785" s="5"/>
      <c r="BC785" s="6"/>
      <c r="BE785" s="6"/>
      <c r="BG785" s="6"/>
      <c r="BH785" s="5"/>
      <c r="BI785" s="5"/>
      <c r="BJ785" s="7"/>
    </row>
    <row r="786" s="1" customFormat="true" ht="14.25" hidden="false" customHeight="false" outlineLevel="0" collapsed="false">
      <c r="G786" s="2"/>
      <c r="M786" s="2"/>
      <c r="Z786" s="3"/>
      <c r="AL786" s="4"/>
      <c r="AM786" s="5"/>
      <c r="AN786" s="5"/>
      <c r="AO786" s="5"/>
      <c r="AP786" s="5"/>
      <c r="AQ786" s="5"/>
      <c r="AR786" s="5"/>
      <c r="AS786" s="6"/>
      <c r="AU786" s="6"/>
      <c r="AW786" s="6"/>
      <c r="AY786" s="5"/>
      <c r="AZ786" s="5"/>
      <c r="BA786" s="5"/>
      <c r="BC786" s="6"/>
      <c r="BE786" s="6"/>
      <c r="BG786" s="6"/>
      <c r="BH786" s="5"/>
      <c r="BI786" s="5"/>
      <c r="BJ786" s="7"/>
    </row>
    <row r="787" s="1" customFormat="true" ht="14.25" hidden="false" customHeight="false" outlineLevel="0" collapsed="false">
      <c r="G787" s="2"/>
      <c r="M787" s="2"/>
      <c r="Z787" s="3"/>
      <c r="AL787" s="4"/>
      <c r="AM787" s="5"/>
      <c r="AN787" s="5"/>
      <c r="AO787" s="5"/>
      <c r="AP787" s="5"/>
      <c r="AQ787" s="5"/>
      <c r="AR787" s="5"/>
      <c r="AS787" s="6"/>
      <c r="AU787" s="6"/>
      <c r="AW787" s="6"/>
      <c r="AY787" s="5"/>
      <c r="AZ787" s="5"/>
      <c r="BA787" s="5"/>
      <c r="BC787" s="6"/>
      <c r="BE787" s="6"/>
      <c r="BG787" s="6"/>
      <c r="BH787" s="5"/>
      <c r="BI787" s="5"/>
      <c r="BJ787" s="7"/>
    </row>
    <row r="788" s="1" customFormat="true" ht="14.25" hidden="false" customHeight="false" outlineLevel="0" collapsed="false">
      <c r="G788" s="2"/>
      <c r="M788" s="2"/>
      <c r="Z788" s="3"/>
      <c r="AL788" s="4"/>
      <c r="AM788" s="5"/>
      <c r="AN788" s="5"/>
      <c r="AO788" s="5"/>
      <c r="AP788" s="5"/>
      <c r="AQ788" s="5"/>
      <c r="AR788" s="5"/>
      <c r="AS788" s="6"/>
      <c r="AU788" s="6"/>
      <c r="AW788" s="6"/>
      <c r="AY788" s="5"/>
      <c r="AZ788" s="5"/>
      <c r="BA788" s="5"/>
      <c r="BC788" s="6"/>
      <c r="BE788" s="6"/>
      <c r="BG788" s="6"/>
      <c r="BH788" s="5"/>
      <c r="BI788" s="5"/>
      <c r="BJ788" s="7"/>
    </row>
    <row r="789" s="1" customFormat="true" ht="14.25" hidden="false" customHeight="false" outlineLevel="0" collapsed="false">
      <c r="G789" s="2"/>
      <c r="M789" s="2"/>
      <c r="Z789" s="3"/>
      <c r="AL789" s="4"/>
      <c r="AM789" s="5"/>
      <c r="AN789" s="5"/>
      <c r="AO789" s="5"/>
      <c r="AP789" s="5"/>
      <c r="AQ789" s="5"/>
      <c r="AR789" s="5"/>
      <c r="AS789" s="6"/>
      <c r="AU789" s="6"/>
      <c r="AW789" s="6"/>
      <c r="AY789" s="5"/>
      <c r="AZ789" s="5"/>
      <c r="BA789" s="5"/>
      <c r="BC789" s="6"/>
      <c r="BE789" s="6"/>
      <c r="BG789" s="6"/>
      <c r="BH789" s="5"/>
      <c r="BI789" s="5"/>
      <c r="BJ789" s="7"/>
    </row>
    <row r="790" s="1" customFormat="true" ht="14.25" hidden="false" customHeight="false" outlineLevel="0" collapsed="false">
      <c r="G790" s="2"/>
      <c r="M790" s="2"/>
      <c r="Z790" s="3"/>
      <c r="AL790" s="4"/>
      <c r="AM790" s="5"/>
      <c r="AN790" s="5"/>
      <c r="AO790" s="5"/>
      <c r="AP790" s="5"/>
      <c r="AQ790" s="5"/>
      <c r="AR790" s="5"/>
      <c r="AS790" s="6"/>
      <c r="AU790" s="6"/>
      <c r="AW790" s="6"/>
      <c r="AY790" s="5"/>
      <c r="AZ790" s="5"/>
      <c r="BA790" s="5"/>
      <c r="BC790" s="6"/>
      <c r="BE790" s="6"/>
      <c r="BG790" s="6"/>
      <c r="BH790" s="5"/>
      <c r="BI790" s="5"/>
      <c r="BJ790" s="7"/>
    </row>
    <row r="791" s="1" customFormat="true" ht="14.25" hidden="false" customHeight="false" outlineLevel="0" collapsed="false">
      <c r="G791" s="2"/>
      <c r="M791" s="2"/>
      <c r="Z791" s="3"/>
      <c r="AL791" s="4"/>
      <c r="AM791" s="5"/>
      <c r="AN791" s="5"/>
      <c r="AO791" s="5"/>
      <c r="AP791" s="5"/>
      <c r="AQ791" s="5"/>
      <c r="AR791" s="5"/>
      <c r="AS791" s="6"/>
      <c r="AU791" s="6"/>
      <c r="AW791" s="6"/>
      <c r="AY791" s="5"/>
      <c r="AZ791" s="5"/>
      <c r="BA791" s="5"/>
      <c r="BC791" s="6"/>
      <c r="BE791" s="6"/>
      <c r="BG791" s="6"/>
      <c r="BH791" s="5"/>
      <c r="BI791" s="5"/>
      <c r="BJ791" s="7"/>
    </row>
    <row r="792" s="1" customFormat="true" ht="14.25" hidden="false" customHeight="false" outlineLevel="0" collapsed="false">
      <c r="G792" s="2"/>
      <c r="M792" s="2"/>
      <c r="Z792" s="3"/>
      <c r="AL792" s="4"/>
      <c r="AM792" s="5"/>
      <c r="AN792" s="5"/>
      <c r="AO792" s="5"/>
      <c r="AP792" s="5"/>
      <c r="AQ792" s="5"/>
      <c r="AR792" s="5"/>
      <c r="AS792" s="6"/>
      <c r="AU792" s="6"/>
      <c r="AW792" s="6"/>
      <c r="AY792" s="5"/>
      <c r="AZ792" s="5"/>
      <c r="BA792" s="5"/>
      <c r="BC792" s="6"/>
      <c r="BE792" s="6"/>
      <c r="BG792" s="6"/>
      <c r="BH792" s="5"/>
      <c r="BI792" s="5"/>
      <c r="BJ792" s="7"/>
    </row>
    <row r="793" s="1" customFormat="true" ht="14.25" hidden="false" customHeight="false" outlineLevel="0" collapsed="false">
      <c r="G793" s="2"/>
      <c r="M793" s="2"/>
      <c r="Z793" s="3"/>
      <c r="AL793" s="4"/>
      <c r="AM793" s="5"/>
      <c r="AN793" s="5"/>
      <c r="AO793" s="5"/>
      <c r="AP793" s="5"/>
      <c r="AQ793" s="5"/>
      <c r="AR793" s="5"/>
      <c r="AS793" s="6"/>
      <c r="AU793" s="6"/>
      <c r="AW793" s="6"/>
      <c r="AY793" s="5"/>
      <c r="AZ793" s="5"/>
      <c r="BA793" s="5"/>
      <c r="BC793" s="6"/>
      <c r="BE793" s="6"/>
      <c r="BG793" s="6"/>
      <c r="BH793" s="5"/>
      <c r="BI793" s="5"/>
      <c r="BJ793" s="7"/>
    </row>
    <row r="794" s="1" customFormat="true" ht="14.25" hidden="false" customHeight="false" outlineLevel="0" collapsed="false">
      <c r="G794" s="2"/>
      <c r="M794" s="2"/>
      <c r="Z794" s="3"/>
      <c r="AL794" s="4"/>
      <c r="AM794" s="5"/>
      <c r="AN794" s="5"/>
      <c r="AO794" s="5"/>
      <c r="AP794" s="5"/>
      <c r="AQ794" s="5"/>
      <c r="AR794" s="5"/>
      <c r="AS794" s="6"/>
      <c r="AU794" s="6"/>
      <c r="AW794" s="6"/>
      <c r="AY794" s="5"/>
      <c r="AZ794" s="5"/>
      <c r="BA794" s="5"/>
      <c r="BC794" s="6"/>
      <c r="BE794" s="6"/>
      <c r="BG794" s="6"/>
      <c r="BH794" s="5"/>
      <c r="BI794" s="5"/>
      <c r="BJ794" s="7"/>
    </row>
    <row r="795" s="1" customFormat="true" ht="14.25" hidden="false" customHeight="false" outlineLevel="0" collapsed="false">
      <c r="G795" s="2"/>
      <c r="M795" s="2"/>
      <c r="Z795" s="3"/>
      <c r="AL795" s="4"/>
      <c r="AM795" s="5"/>
      <c r="AN795" s="5"/>
      <c r="AO795" s="5"/>
      <c r="AP795" s="5"/>
      <c r="AQ795" s="5"/>
      <c r="AR795" s="5"/>
      <c r="AS795" s="6"/>
      <c r="AU795" s="6"/>
      <c r="AW795" s="6"/>
      <c r="AY795" s="5"/>
      <c r="AZ795" s="5"/>
      <c r="BA795" s="5"/>
      <c r="BC795" s="6"/>
      <c r="BE795" s="6"/>
      <c r="BG795" s="6"/>
      <c r="BH795" s="5"/>
      <c r="BI795" s="5"/>
      <c r="BJ795" s="7"/>
    </row>
    <row r="796" s="1" customFormat="true" ht="14.25" hidden="false" customHeight="false" outlineLevel="0" collapsed="false">
      <c r="G796" s="2"/>
      <c r="M796" s="2"/>
      <c r="Z796" s="3"/>
      <c r="AL796" s="4"/>
      <c r="AM796" s="5"/>
      <c r="AN796" s="5"/>
      <c r="AO796" s="5"/>
      <c r="AP796" s="5"/>
      <c r="AQ796" s="5"/>
      <c r="AR796" s="5"/>
      <c r="AS796" s="6"/>
      <c r="AU796" s="6"/>
      <c r="AW796" s="6"/>
      <c r="AY796" s="5"/>
      <c r="AZ796" s="5"/>
      <c r="BA796" s="5"/>
      <c r="BC796" s="6"/>
      <c r="BE796" s="6"/>
      <c r="BG796" s="6"/>
      <c r="BH796" s="5"/>
      <c r="BI796" s="5"/>
      <c r="BJ796" s="7"/>
    </row>
    <row r="797" s="1" customFormat="true" ht="14.25" hidden="false" customHeight="false" outlineLevel="0" collapsed="false">
      <c r="G797" s="2"/>
      <c r="M797" s="2"/>
      <c r="Z797" s="3"/>
      <c r="AL797" s="4"/>
      <c r="AM797" s="5"/>
      <c r="AN797" s="5"/>
      <c r="AO797" s="5"/>
      <c r="AP797" s="5"/>
      <c r="AQ797" s="5"/>
      <c r="AR797" s="5"/>
      <c r="AS797" s="6"/>
      <c r="AU797" s="6"/>
      <c r="AW797" s="6"/>
      <c r="AY797" s="5"/>
      <c r="AZ797" s="5"/>
      <c r="BA797" s="5"/>
      <c r="BC797" s="6"/>
      <c r="BE797" s="6"/>
      <c r="BG797" s="6"/>
      <c r="BH797" s="5"/>
      <c r="BI797" s="5"/>
      <c r="BJ797" s="7"/>
    </row>
    <row r="798" s="1" customFormat="true" ht="14.25" hidden="false" customHeight="false" outlineLevel="0" collapsed="false">
      <c r="G798" s="2"/>
      <c r="M798" s="2"/>
      <c r="Z798" s="3"/>
      <c r="AL798" s="4"/>
      <c r="AM798" s="5"/>
      <c r="AN798" s="5"/>
      <c r="AO798" s="5"/>
      <c r="AP798" s="5"/>
      <c r="AQ798" s="5"/>
      <c r="AR798" s="5"/>
      <c r="AS798" s="6"/>
      <c r="AU798" s="6"/>
      <c r="AW798" s="6"/>
      <c r="AY798" s="5"/>
      <c r="AZ798" s="5"/>
      <c r="BA798" s="5"/>
      <c r="BC798" s="6"/>
      <c r="BE798" s="6"/>
      <c r="BG798" s="6"/>
      <c r="BH798" s="5"/>
      <c r="BI798" s="5"/>
      <c r="BJ798" s="7"/>
    </row>
    <row r="799" s="1" customFormat="true" ht="14.25" hidden="false" customHeight="false" outlineLevel="0" collapsed="false">
      <c r="G799" s="2"/>
      <c r="M799" s="2"/>
      <c r="Z799" s="3"/>
      <c r="AL799" s="4"/>
      <c r="AM799" s="5"/>
      <c r="AN799" s="5"/>
      <c r="AO799" s="5"/>
      <c r="AP799" s="5"/>
      <c r="AQ799" s="5"/>
      <c r="AR799" s="5"/>
      <c r="AS799" s="6"/>
      <c r="AU799" s="6"/>
      <c r="AW799" s="6"/>
      <c r="AY799" s="5"/>
      <c r="AZ799" s="5"/>
      <c r="BA799" s="5"/>
      <c r="BC799" s="6"/>
      <c r="BE799" s="6"/>
      <c r="BG799" s="6"/>
      <c r="BH799" s="5"/>
      <c r="BI799" s="5"/>
      <c r="BJ799" s="7"/>
    </row>
    <row r="800" s="1" customFormat="true" ht="14.25" hidden="false" customHeight="false" outlineLevel="0" collapsed="false">
      <c r="G800" s="2"/>
      <c r="M800" s="2"/>
      <c r="Z800" s="3"/>
      <c r="AL800" s="4"/>
      <c r="AM800" s="5"/>
      <c r="AN800" s="5"/>
      <c r="AO800" s="5"/>
      <c r="AP800" s="5"/>
      <c r="AQ800" s="5"/>
      <c r="AR800" s="5"/>
      <c r="AS800" s="6"/>
      <c r="AU800" s="6"/>
      <c r="AW800" s="6"/>
      <c r="AY800" s="5"/>
      <c r="AZ800" s="5"/>
      <c r="BA800" s="5"/>
      <c r="BC800" s="6"/>
      <c r="BE800" s="6"/>
      <c r="BG800" s="6"/>
      <c r="BH800" s="5"/>
      <c r="BI800" s="5"/>
      <c r="BJ800" s="7"/>
    </row>
    <row r="801" s="1" customFormat="true" ht="14.25" hidden="false" customHeight="false" outlineLevel="0" collapsed="false">
      <c r="G801" s="2"/>
      <c r="M801" s="2"/>
      <c r="Z801" s="3"/>
      <c r="AL801" s="4"/>
      <c r="AM801" s="5"/>
      <c r="AN801" s="5"/>
      <c r="AO801" s="5"/>
      <c r="AP801" s="5"/>
      <c r="AQ801" s="5"/>
      <c r="AR801" s="5"/>
      <c r="AS801" s="6"/>
      <c r="AU801" s="6"/>
      <c r="AW801" s="6"/>
      <c r="AY801" s="5"/>
      <c r="AZ801" s="5"/>
      <c r="BA801" s="5"/>
      <c r="BC801" s="6"/>
      <c r="BE801" s="6"/>
      <c r="BG801" s="6"/>
      <c r="BH801" s="5"/>
      <c r="BI801" s="5"/>
      <c r="BJ801" s="7"/>
    </row>
    <row r="802" s="1" customFormat="true" ht="14.25" hidden="false" customHeight="false" outlineLevel="0" collapsed="false">
      <c r="G802" s="2"/>
      <c r="M802" s="2"/>
      <c r="Z802" s="3"/>
      <c r="AL802" s="4"/>
      <c r="AM802" s="5"/>
      <c r="AN802" s="5"/>
      <c r="AO802" s="5"/>
      <c r="AP802" s="5"/>
      <c r="AQ802" s="5"/>
      <c r="AR802" s="5"/>
      <c r="AS802" s="6"/>
      <c r="AU802" s="6"/>
      <c r="AW802" s="6"/>
      <c r="AY802" s="5"/>
      <c r="AZ802" s="5"/>
      <c r="BA802" s="5"/>
      <c r="BC802" s="6"/>
      <c r="BE802" s="6"/>
      <c r="BG802" s="6"/>
      <c r="BH802" s="5"/>
      <c r="BI802" s="5"/>
      <c r="BJ802" s="7"/>
    </row>
    <row r="803" s="1" customFormat="true" ht="14.25" hidden="false" customHeight="false" outlineLevel="0" collapsed="false">
      <c r="G803" s="2"/>
      <c r="M803" s="2"/>
      <c r="Z803" s="3"/>
      <c r="AL803" s="4"/>
      <c r="AM803" s="5"/>
      <c r="AN803" s="5"/>
      <c r="AO803" s="5"/>
      <c r="AP803" s="5"/>
      <c r="AQ803" s="5"/>
      <c r="AR803" s="5"/>
      <c r="AS803" s="6"/>
      <c r="AU803" s="6"/>
      <c r="AW803" s="6"/>
      <c r="AY803" s="5"/>
      <c r="AZ803" s="5"/>
      <c r="BA803" s="5"/>
      <c r="BC803" s="6"/>
      <c r="BE803" s="6"/>
      <c r="BG803" s="6"/>
      <c r="BH803" s="5"/>
      <c r="BI803" s="5"/>
      <c r="BJ803" s="7"/>
    </row>
    <row r="804" s="1" customFormat="true" ht="14.25" hidden="false" customHeight="false" outlineLevel="0" collapsed="false">
      <c r="G804" s="2"/>
      <c r="M804" s="2"/>
      <c r="Z804" s="3"/>
      <c r="AL804" s="4"/>
      <c r="AM804" s="5"/>
      <c r="AN804" s="5"/>
      <c r="AO804" s="5"/>
      <c r="AP804" s="5"/>
      <c r="AQ804" s="5"/>
      <c r="AR804" s="5"/>
      <c r="AS804" s="6"/>
      <c r="AU804" s="6"/>
      <c r="AW804" s="6"/>
      <c r="AY804" s="5"/>
      <c r="AZ804" s="5"/>
      <c r="BA804" s="5"/>
      <c r="BC804" s="6"/>
      <c r="BE804" s="6"/>
      <c r="BG804" s="6"/>
      <c r="BH804" s="5"/>
      <c r="BI804" s="5"/>
      <c r="BJ804" s="7"/>
    </row>
    <row r="805" s="1" customFormat="true" ht="14.25" hidden="false" customHeight="false" outlineLevel="0" collapsed="false">
      <c r="G805" s="2"/>
      <c r="M805" s="2"/>
      <c r="Z805" s="3"/>
      <c r="AL805" s="4"/>
      <c r="AM805" s="5"/>
      <c r="AN805" s="5"/>
      <c r="AO805" s="5"/>
      <c r="AP805" s="5"/>
      <c r="AQ805" s="5"/>
      <c r="AR805" s="5"/>
      <c r="AS805" s="6"/>
      <c r="AU805" s="6"/>
      <c r="AW805" s="6"/>
      <c r="AY805" s="5"/>
      <c r="AZ805" s="5"/>
      <c r="BA805" s="5"/>
      <c r="BC805" s="6"/>
      <c r="BE805" s="6"/>
      <c r="BG805" s="6"/>
      <c r="BH805" s="5"/>
      <c r="BI805" s="5"/>
      <c r="BJ805" s="7"/>
    </row>
    <row r="806" s="1" customFormat="true" ht="14.25" hidden="false" customHeight="false" outlineLevel="0" collapsed="false">
      <c r="G806" s="2"/>
      <c r="M806" s="2"/>
      <c r="Z806" s="3"/>
      <c r="AL806" s="4"/>
      <c r="AM806" s="5"/>
      <c r="AN806" s="5"/>
      <c r="AO806" s="5"/>
      <c r="AP806" s="5"/>
      <c r="AQ806" s="5"/>
      <c r="AR806" s="5"/>
      <c r="AS806" s="6"/>
      <c r="AU806" s="6"/>
      <c r="AW806" s="6"/>
      <c r="AY806" s="5"/>
      <c r="AZ806" s="5"/>
      <c r="BA806" s="5"/>
      <c r="BC806" s="6"/>
      <c r="BE806" s="6"/>
      <c r="BG806" s="6"/>
      <c r="BH806" s="5"/>
      <c r="BI806" s="5"/>
      <c r="BJ806" s="7"/>
    </row>
    <row r="807" s="1" customFormat="true" ht="14.25" hidden="false" customHeight="false" outlineLevel="0" collapsed="false">
      <c r="G807" s="2"/>
      <c r="M807" s="2"/>
      <c r="Z807" s="3"/>
      <c r="AL807" s="4"/>
      <c r="AM807" s="5"/>
      <c r="AN807" s="5"/>
      <c r="AO807" s="5"/>
      <c r="AP807" s="5"/>
      <c r="AQ807" s="5"/>
      <c r="AR807" s="5"/>
      <c r="AS807" s="6"/>
      <c r="AU807" s="6"/>
      <c r="AW807" s="6"/>
      <c r="AY807" s="5"/>
      <c r="AZ807" s="5"/>
      <c r="BA807" s="5"/>
      <c r="BC807" s="6"/>
      <c r="BE807" s="6"/>
      <c r="BG807" s="6"/>
      <c r="BH807" s="5"/>
      <c r="BI807" s="5"/>
      <c r="BJ807" s="7"/>
    </row>
    <row r="808" s="1" customFormat="true" ht="14.25" hidden="false" customHeight="false" outlineLevel="0" collapsed="false">
      <c r="G808" s="2"/>
      <c r="M808" s="2"/>
      <c r="Z808" s="3"/>
      <c r="AL808" s="4"/>
      <c r="AM808" s="5"/>
      <c r="AN808" s="5"/>
      <c r="AO808" s="5"/>
      <c r="AP808" s="5"/>
      <c r="AQ808" s="5"/>
      <c r="AR808" s="5"/>
      <c r="AS808" s="6"/>
      <c r="AU808" s="6"/>
      <c r="AW808" s="6"/>
      <c r="AY808" s="5"/>
      <c r="AZ808" s="5"/>
      <c r="BA808" s="5"/>
      <c r="BC808" s="6"/>
      <c r="BE808" s="6"/>
      <c r="BG808" s="6"/>
      <c r="BH808" s="5"/>
      <c r="BI808" s="5"/>
      <c r="BJ808" s="7"/>
    </row>
    <row r="809" s="1" customFormat="true" ht="14.25" hidden="false" customHeight="false" outlineLevel="0" collapsed="false">
      <c r="G809" s="2"/>
      <c r="M809" s="2"/>
      <c r="Z809" s="3"/>
      <c r="AL809" s="4"/>
      <c r="AM809" s="5"/>
      <c r="AN809" s="5"/>
      <c r="AO809" s="5"/>
      <c r="AP809" s="5"/>
      <c r="AQ809" s="5"/>
      <c r="AR809" s="5"/>
      <c r="AS809" s="6"/>
      <c r="AU809" s="6"/>
      <c r="AW809" s="6"/>
      <c r="AY809" s="5"/>
      <c r="AZ809" s="5"/>
      <c r="BA809" s="5"/>
      <c r="BC809" s="6"/>
      <c r="BE809" s="6"/>
      <c r="BG809" s="6"/>
      <c r="BH809" s="5"/>
      <c r="BI809" s="5"/>
      <c r="BJ809" s="7"/>
    </row>
    <row r="810" s="1" customFormat="true" ht="14.25" hidden="false" customHeight="false" outlineLevel="0" collapsed="false">
      <c r="G810" s="2"/>
      <c r="M810" s="2"/>
      <c r="Z810" s="3"/>
      <c r="AL810" s="4"/>
      <c r="AM810" s="5"/>
      <c r="AN810" s="5"/>
      <c r="AO810" s="5"/>
      <c r="AP810" s="5"/>
      <c r="AQ810" s="5"/>
      <c r="AR810" s="5"/>
      <c r="AS810" s="6"/>
      <c r="AU810" s="6"/>
      <c r="AW810" s="6"/>
      <c r="AY810" s="5"/>
      <c r="AZ810" s="5"/>
      <c r="BA810" s="5"/>
      <c r="BC810" s="6"/>
      <c r="BE810" s="6"/>
      <c r="BG810" s="6"/>
      <c r="BH810" s="5"/>
      <c r="BI810" s="5"/>
      <c r="BJ810" s="7"/>
    </row>
    <row r="811" s="1" customFormat="true" ht="14.25" hidden="false" customHeight="false" outlineLevel="0" collapsed="false">
      <c r="G811" s="2"/>
      <c r="M811" s="2"/>
      <c r="Z811" s="3"/>
      <c r="AL811" s="4"/>
      <c r="AM811" s="5"/>
      <c r="AN811" s="5"/>
      <c r="AO811" s="5"/>
      <c r="AP811" s="5"/>
      <c r="AQ811" s="5"/>
      <c r="AR811" s="5"/>
      <c r="AS811" s="6"/>
      <c r="AU811" s="6"/>
      <c r="AW811" s="6"/>
      <c r="AY811" s="5"/>
      <c r="AZ811" s="5"/>
      <c r="BA811" s="5"/>
      <c r="BC811" s="6"/>
      <c r="BE811" s="6"/>
      <c r="BG811" s="6"/>
      <c r="BH811" s="5"/>
      <c r="BI811" s="5"/>
      <c r="BJ811" s="7"/>
    </row>
    <row r="812" s="1" customFormat="true" ht="14.25" hidden="false" customHeight="false" outlineLevel="0" collapsed="false">
      <c r="G812" s="2"/>
      <c r="M812" s="2"/>
      <c r="Z812" s="3"/>
      <c r="AL812" s="4"/>
      <c r="AM812" s="5"/>
      <c r="AN812" s="5"/>
      <c r="AO812" s="5"/>
      <c r="AP812" s="5"/>
      <c r="AQ812" s="5"/>
      <c r="AR812" s="5"/>
      <c r="AS812" s="6"/>
      <c r="AU812" s="6"/>
      <c r="AW812" s="6"/>
      <c r="AY812" s="5"/>
      <c r="AZ812" s="5"/>
      <c r="BA812" s="5"/>
      <c r="BC812" s="6"/>
      <c r="BE812" s="6"/>
      <c r="BG812" s="6"/>
      <c r="BH812" s="5"/>
      <c r="BI812" s="5"/>
      <c r="BJ812" s="7"/>
    </row>
    <row r="813" s="1" customFormat="true" ht="14.25" hidden="false" customHeight="false" outlineLevel="0" collapsed="false">
      <c r="G813" s="2"/>
      <c r="M813" s="2"/>
      <c r="Z813" s="3"/>
      <c r="AL813" s="4"/>
      <c r="AM813" s="5"/>
      <c r="AN813" s="5"/>
      <c r="AO813" s="5"/>
      <c r="AP813" s="5"/>
      <c r="AQ813" s="5"/>
      <c r="AR813" s="5"/>
      <c r="AS813" s="6"/>
      <c r="AU813" s="6"/>
      <c r="AW813" s="6"/>
      <c r="AY813" s="5"/>
      <c r="AZ813" s="5"/>
      <c r="BA813" s="5"/>
      <c r="BC813" s="6"/>
      <c r="BE813" s="6"/>
      <c r="BG813" s="6"/>
      <c r="BH813" s="5"/>
      <c r="BI813" s="5"/>
      <c r="BJ813" s="7"/>
    </row>
    <row r="814" s="1" customFormat="true" ht="14.25" hidden="false" customHeight="false" outlineLevel="0" collapsed="false">
      <c r="G814" s="2"/>
      <c r="M814" s="2"/>
      <c r="Z814" s="3"/>
      <c r="AL814" s="4"/>
      <c r="AM814" s="5"/>
      <c r="AN814" s="5"/>
      <c r="AO814" s="5"/>
      <c r="AP814" s="5"/>
      <c r="AQ814" s="5"/>
      <c r="AR814" s="5"/>
      <c r="AS814" s="6"/>
      <c r="AU814" s="6"/>
      <c r="AW814" s="6"/>
      <c r="AY814" s="5"/>
      <c r="AZ814" s="5"/>
      <c r="BA814" s="5"/>
      <c r="BC814" s="6"/>
      <c r="BE814" s="6"/>
      <c r="BG814" s="6"/>
      <c r="BH814" s="5"/>
      <c r="BI814" s="5"/>
      <c r="BJ814" s="7"/>
    </row>
    <row r="815" s="1" customFormat="true" ht="14.25" hidden="false" customHeight="false" outlineLevel="0" collapsed="false">
      <c r="G815" s="2"/>
      <c r="M815" s="2"/>
      <c r="Z815" s="3"/>
      <c r="AL815" s="4"/>
      <c r="AM815" s="5"/>
      <c r="AN815" s="5"/>
      <c r="AO815" s="5"/>
      <c r="AP815" s="5"/>
      <c r="AQ815" s="5"/>
      <c r="AR815" s="5"/>
      <c r="AS815" s="6"/>
      <c r="AU815" s="6"/>
      <c r="AW815" s="6"/>
      <c r="AY815" s="5"/>
      <c r="AZ815" s="5"/>
      <c r="BA815" s="5"/>
      <c r="BC815" s="6"/>
      <c r="BE815" s="6"/>
      <c r="BG815" s="6"/>
      <c r="BH815" s="5"/>
      <c r="BI815" s="5"/>
      <c r="BJ815" s="7"/>
    </row>
    <row r="816" s="1" customFormat="true" ht="14.25" hidden="false" customHeight="false" outlineLevel="0" collapsed="false">
      <c r="G816" s="2"/>
      <c r="M816" s="2"/>
      <c r="Z816" s="3"/>
      <c r="AL816" s="4"/>
      <c r="AM816" s="5"/>
      <c r="AN816" s="5"/>
      <c r="AO816" s="5"/>
      <c r="AP816" s="5"/>
      <c r="AQ816" s="5"/>
      <c r="AR816" s="5"/>
      <c r="AS816" s="6"/>
      <c r="AU816" s="6"/>
      <c r="AW816" s="6"/>
      <c r="AY816" s="5"/>
      <c r="AZ816" s="5"/>
      <c r="BA816" s="5"/>
      <c r="BC816" s="6"/>
      <c r="BE816" s="6"/>
      <c r="BG816" s="6"/>
      <c r="BH816" s="5"/>
      <c r="BI816" s="5"/>
      <c r="BJ816" s="7"/>
    </row>
    <row r="817" s="1" customFormat="true" ht="14.25" hidden="false" customHeight="false" outlineLevel="0" collapsed="false">
      <c r="G817" s="2"/>
      <c r="M817" s="2"/>
      <c r="Z817" s="3"/>
      <c r="AL817" s="4"/>
      <c r="AM817" s="5"/>
      <c r="AN817" s="5"/>
      <c r="AO817" s="5"/>
      <c r="AP817" s="5"/>
      <c r="AQ817" s="5"/>
      <c r="AR817" s="5"/>
      <c r="AS817" s="6"/>
      <c r="AU817" s="6"/>
      <c r="AW817" s="6"/>
      <c r="AY817" s="5"/>
      <c r="AZ817" s="5"/>
      <c r="BA817" s="5"/>
      <c r="BC817" s="6"/>
      <c r="BE817" s="6"/>
      <c r="BG817" s="6"/>
      <c r="BH817" s="5"/>
      <c r="BI817" s="5"/>
      <c r="BJ817" s="7"/>
    </row>
    <row r="818" s="1" customFormat="true" ht="14.25" hidden="false" customHeight="false" outlineLevel="0" collapsed="false">
      <c r="G818" s="2"/>
      <c r="M818" s="2"/>
      <c r="Z818" s="3"/>
      <c r="AL818" s="4"/>
      <c r="AM818" s="5"/>
      <c r="AN818" s="5"/>
      <c r="AO818" s="5"/>
      <c r="AP818" s="5"/>
      <c r="AQ818" s="5"/>
      <c r="AR818" s="5"/>
      <c r="AS818" s="6"/>
      <c r="AU818" s="6"/>
      <c r="AW818" s="6"/>
      <c r="AY818" s="5"/>
      <c r="AZ818" s="5"/>
      <c r="BA818" s="5"/>
      <c r="BC818" s="6"/>
      <c r="BE818" s="6"/>
      <c r="BG818" s="6"/>
      <c r="BH818" s="5"/>
      <c r="BI818" s="5"/>
      <c r="BJ818" s="7"/>
    </row>
    <row r="819" s="1" customFormat="true" ht="14.25" hidden="false" customHeight="false" outlineLevel="0" collapsed="false">
      <c r="G819" s="2"/>
      <c r="M819" s="2"/>
      <c r="Z819" s="3"/>
      <c r="AL819" s="4"/>
      <c r="AM819" s="5"/>
      <c r="AN819" s="5"/>
      <c r="AO819" s="5"/>
      <c r="AP819" s="5"/>
      <c r="AQ819" s="5"/>
      <c r="AR819" s="5"/>
      <c r="AS819" s="6"/>
      <c r="AU819" s="6"/>
      <c r="AW819" s="6"/>
      <c r="AY819" s="5"/>
      <c r="AZ819" s="5"/>
      <c r="BA819" s="5"/>
      <c r="BC819" s="6"/>
      <c r="BE819" s="6"/>
      <c r="BG819" s="6"/>
      <c r="BH819" s="5"/>
      <c r="BI819" s="5"/>
      <c r="BJ819" s="7"/>
    </row>
    <row r="820" s="1" customFormat="true" ht="14.25" hidden="false" customHeight="false" outlineLevel="0" collapsed="false">
      <c r="G820" s="2"/>
      <c r="M820" s="2"/>
      <c r="Z820" s="3"/>
      <c r="AL820" s="4"/>
      <c r="AM820" s="5"/>
      <c r="AN820" s="5"/>
      <c r="AO820" s="5"/>
      <c r="AP820" s="5"/>
      <c r="AQ820" s="5"/>
      <c r="AR820" s="5"/>
      <c r="AS820" s="6"/>
      <c r="AU820" s="6"/>
      <c r="AW820" s="6"/>
      <c r="AY820" s="5"/>
      <c r="AZ820" s="5"/>
      <c r="BA820" s="5"/>
      <c r="BC820" s="6"/>
      <c r="BE820" s="6"/>
      <c r="BG820" s="6"/>
      <c r="BH820" s="5"/>
      <c r="BI820" s="5"/>
      <c r="BJ820" s="7"/>
    </row>
    <row r="821" s="1" customFormat="true" ht="14.25" hidden="false" customHeight="false" outlineLevel="0" collapsed="false">
      <c r="G821" s="2"/>
      <c r="M821" s="2"/>
      <c r="Z821" s="3"/>
      <c r="AL821" s="4"/>
      <c r="AM821" s="5"/>
      <c r="AN821" s="5"/>
      <c r="AO821" s="5"/>
      <c r="AP821" s="5"/>
      <c r="AQ821" s="5"/>
      <c r="AR821" s="5"/>
      <c r="AS821" s="6"/>
      <c r="AU821" s="6"/>
      <c r="AW821" s="6"/>
      <c r="AY821" s="5"/>
      <c r="AZ821" s="5"/>
      <c r="BA821" s="5"/>
      <c r="BC821" s="6"/>
      <c r="BE821" s="6"/>
      <c r="BG821" s="6"/>
      <c r="BH821" s="5"/>
      <c r="BI821" s="5"/>
      <c r="BJ821" s="7"/>
    </row>
    <row r="822" s="1" customFormat="true" ht="14.25" hidden="false" customHeight="false" outlineLevel="0" collapsed="false">
      <c r="G822" s="2"/>
      <c r="M822" s="2"/>
      <c r="Z822" s="3"/>
      <c r="AL822" s="4"/>
      <c r="AM822" s="5"/>
      <c r="AN822" s="5"/>
      <c r="AO822" s="5"/>
      <c r="AP822" s="5"/>
      <c r="AQ822" s="5"/>
      <c r="AR822" s="5"/>
      <c r="AS822" s="6"/>
      <c r="AU822" s="6"/>
      <c r="AW822" s="6"/>
      <c r="AY822" s="5"/>
      <c r="AZ822" s="5"/>
      <c r="BA822" s="5"/>
      <c r="BC822" s="6"/>
      <c r="BE822" s="6"/>
      <c r="BG822" s="6"/>
      <c r="BH822" s="5"/>
      <c r="BI822" s="5"/>
      <c r="BJ822" s="7"/>
    </row>
    <row r="823" s="1" customFormat="true" ht="14.25" hidden="false" customHeight="false" outlineLevel="0" collapsed="false">
      <c r="G823" s="2"/>
      <c r="M823" s="2"/>
      <c r="Z823" s="3"/>
      <c r="AL823" s="4"/>
      <c r="AM823" s="5"/>
      <c r="AN823" s="5"/>
      <c r="AO823" s="5"/>
      <c r="AP823" s="5"/>
      <c r="AQ823" s="5"/>
      <c r="AR823" s="5"/>
      <c r="AS823" s="6"/>
      <c r="AU823" s="6"/>
      <c r="AW823" s="6"/>
      <c r="AY823" s="5"/>
      <c r="AZ823" s="5"/>
      <c r="BA823" s="5"/>
      <c r="BC823" s="6"/>
      <c r="BE823" s="6"/>
      <c r="BG823" s="6"/>
      <c r="BH823" s="5"/>
      <c r="BI823" s="5"/>
      <c r="BJ823" s="7"/>
    </row>
    <row r="824" s="1" customFormat="true" ht="14.25" hidden="false" customHeight="false" outlineLevel="0" collapsed="false">
      <c r="G824" s="2"/>
      <c r="M824" s="2"/>
      <c r="Z824" s="3"/>
      <c r="AL824" s="4"/>
      <c r="AM824" s="5"/>
      <c r="AN824" s="5"/>
      <c r="AO824" s="5"/>
      <c r="AP824" s="5"/>
      <c r="AQ824" s="5"/>
      <c r="AR824" s="5"/>
      <c r="AS824" s="6"/>
      <c r="AU824" s="6"/>
      <c r="AW824" s="6"/>
      <c r="AY824" s="5"/>
      <c r="AZ824" s="5"/>
      <c r="BA824" s="5"/>
      <c r="BC824" s="6"/>
      <c r="BE824" s="6"/>
      <c r="BG824" s="6"/>
      <c r="BH824" s="5"/>
      <c r="BI824" s="5"/>
      <c r="BJ824" s="7"/>
    </row>
    <row r="825" s="1" customFormat="true" ht="14.25" hidden="false" customHeight="false" outlineLevel="0" collapsed="false">
      <c r="G825" s="2"/>
      <c r="M825" s="2"/>
      <c r="Z825" s="3"/>
      <c r="AL825" s="4"/>
      <c r="AM825" s="5"/>
      <c r="AN825" s="5"/>
      <c r="AO825" s="5"/>
      <c r="AP825" s="5"/>
      <c r="AQ825" s="5"/>
      <c r="AR825" s="5"/>
      <c r="AS825" s="6"/>
      <c r="AU825" s="6"/>
      <c r="AW825" s="6"/>
      <c r="AY825" s="5"/>
      <c r="AZ825" s="5"/>
      <c r="BA825" s="5"/>
      <c r="BC825" s="6"/>
      <c r="BE825" s="6"/>
      <c r="BG825" s="6"/>
      <c r="BH825" s="5"/>
      <c r="BI825" s="5"/>
      <c r="BJ825" s="7"/>
    </row>
    <row r="826" s="1" customFormat="true" ht="14.25" hidden="false" customHeight="false" outlineLevel="0" collapsed="false">
      <c r="G826" s="2"/>
      <c r="M826" s="2"/>
      <c r="Z826" s="3"/>
      <c r="AL826" s="4"/>
      <c r="AM826" s="5"/>
      <c r="AN826" s="5"/>
      <c r="AO826" s="5"/>
      <c r="AP826" s="5"/>
      <c r="AQ826" s="5"/>
      <c r="AR826" s="5"/>
      <c r="AS826" s="6"/>
      <c r="AU826" s="6"/>
      <c r="AW826" s="6"/>
      <c r="AY826" s="5"/>
      <c r="AZ826" s="5"/>
      <c r="BA826" s="5"/>
      <c r="BC826" s="6"/>
      <c r="BE826" s="6"/>
      <c r="BG826" s="6"/>
      <c r="BH826" s="5"/>
      <c r="BI826" s="5"/>
      <c r="BJ826" s="7"/>
    </row>
    <row r="827" s="1" customFormat="true" ht="14.25" hidden="false" customHeight="false" outlineLevel="0" collapsed="false">
      <c r="G827" s="2"/>
      <c r="M827" s="2"/>
      <c r="Z827" s="3"/>
      <c r="AL827" s="4"/>
      <c r="AM827" s="5"/>
      <c r="AN827" s="5"/>
      <c r="AO827" s="5"/>
      <c r="AP827" s="5"/>
      <c r="AQ827" s="5"/>
      <c r="AR827" s="5"/>
      <c r="AS827" s="6"/>
      <c r="AU827" s="6"/>
      <c r="AW827" s="6"/>
      <c r="AY827" s="5"/>
      <c r="AZ827" s="5"/>
      <c r="BA827" s="5"/>
      <c r="BC827" s="6"/>
      <c r="BE827" s="6"/>
      <c r="BG827" s="6"/>
      <c r="BH827" s="5"/>
      <c r="BI827" s="5"/>
      <c r="BJ827" s="7"/>
    </row>
    <row r="828" s="1" customFormat="true" ht="14.25" hidden="false" customHeight="false" outlineLevel="0" collapsed="false">
      <c r="G828" s="2"/>
      <c r="M828" s="2"/>
      <c r="Z828" s="3"/>
      <c r="AL828" s="4"/>
      <c r="AM828" s="5"/>
      <c r="AN828" s="5"/>
      <c r="AO828" s="5"/>
      <c r="AP828" s="5"/>
      <c r="AQ828" s="5"/>
      <c r="AR828" s="5"/>
      <c r="AS828" s="6"/>
      <c r="AU828" s="6"/>
      <c r="AW828" s="6"/>
      <c r="AY828" s="5"/>
      <c r="AZ828" s="5"/>
      <c r="BA828" s="5"/>
      <c r="BC828" s="6"/>
      <c r="BE828" s="6"/>
      <c r="BG828" s="6"/>
      <c r="BH828" s="5"/>
      <c r="BI828" s="5"/>
      <c r="BJ828" s="7"/>
    </row>
    <row r="829" s="1" customFormat="true" ht="14.25" hidden="false" customHeight="false" outlineLevel="0" collapsed="false">
      <c r="G829" s="2"/>
      <c r="M829" s="2"/>
      <c r="Z829" s="3"/>
      <c r="AL829" s="4"/>
      <c r="AM829" s="5"/>
      <c r="AN829" s="5"/>
      <c r="AO829" s="5"/>
      <c r="AP829" s="5"/>
      <c r="AQ829" s="5"/>
      <c r="AR829" s="5"/>
      <c r="AS829" s="6"/>
      <c r="AU829" s="6"/>
      <c r="AW829" s="6"/>
      <c r="AY829" s="5"/>
      <c r="AZ829" s="5"/>
      <c r="BA829" s="5"/>
      <c r="BC829" s="6"/>
      <c r="BE829" s="6"/>
      <c r="BG829" s="6"/>
      <c r="BH829" s="5"/>
      <c r="BI829" s="5"/>
      <c r="BJ829" s="7"/>
    </row>
    <row r="830" s="1" customFormat="true" ht="14.25" hidden="false" customHeight="false" outlineLevel="0" collapsed="false">
      <c r="G830" s="2"/>
      <c r="M830" s="2"/>
      <c r="Z830" s="3"/>
      <c r="AL830" s="4"/>
      <c r="AM830" s="5"/>
      <c r="AN830" s="5"/>
      <c r="AO830" s="5"/>
      <c r="AP830" s="5"/>
      <c r="AQ830" s="5"/>
      <c r="AR830" s="5"/>
      <c r="AS830" s="6"/>
      <c r="AU830" s="6"/>
      <c r="AW830" s="6"/>
      <c r="AY830" s="5"/>
      <c r="AZ830" s="5"/>
      <c r="BA830" s="5"/>
      <c r="BC830" s="6"/>
      <c r="BE830" s="6"/>
      <c r="BG830" s="6"/>
      <c r="BH830" s="5"/>
      <c r="BI830" s="5"/>
      <c r="BJ830" s="7"/>
    </row>
    <row r="831" s="1" customFormat="true" ht="14.25" hidden="false" customHeight="false" outlineLevel="0" collapsed="false">
      <c r="G831" s="2"/>
      <c r="M831" s="2"/>
      <c r="Z831" s="3"/>
      <c r="AL831" s="4"/>
      <c r="AM831" s="5"/>
      <c r="AN831" s="5"/>
      <c r="AO831" s="5"/>
      <c r="AP831" s="5"/>
      <c r="AQ831" s="5"/>
      <c r="AR831" s="5"/>
      <c r="AS831" s="6"/>
      <c r="AU831" s="6"/>
      <c r="AW831" s="6"/>
      <c r="AY831" s="5"/>
      <c r="AZ831" s="5"/>
      <c r="BA831" s="5"/>
      <c r="BC831" s="6"/>
      <c r="BE831" s="6"/>
      <c r="BG831" s="6"/>
      <c r="BH831" s="5"/>
      <c r="BI831" s="5"/>
      <c r="BJ831" s="7"/>
    </row>
    <row r="832" s="1" customFormat="true" ht="14.25" hidden="false" customHeight="false" outlineLevel="0" collapsed="false">
      <c r="G832" s="2"/>
      <c r="M832" s="2"/>
      <c r="Z832" s="3"/>
      <c r="AL832" s="4"/>
      <c r="AM832" s="5"/>
      <c r="AN832" s="5"/>
      <c r="AO832" s="5"/>
      <c r="AP832" s="5"/>
      <c r="AQ832" s="5"/>
      <c r="AR832" s="5"/>
      <c r="AS832" s="6"/>
      <c r="AU832" s="6"/>
      <c r="AW832" s="6"/>
      <c r="AY832" s="5"/>
      <c r="AZ832" s="5"/>
      <c r="BA832" s="5"/>
      <c r="BC832" s="6"/>
      <c r="BE832" s="6"/>
      <c r="BG832" s="6"/>
      <c r="BH832" s="5"/>
      <c r="BI832" s="5"/>
      <c r="BJ832" s="7"/>
    </row>
    <row r="833" s="1" customFormat="true" ht="14.25" hidden="false" customHeight="false" outlineLevel="0" collapsed="false">
      <c r="G833" s="2"/>
      <c r="M833" s="2"/>
      <c r="Z833" s="3"/>
      <c r="AL833" s="4"/>
      <c r="AM833" s="5"/>
      <c r="AN833" s="5"/>
      <c r="AO833" s="5"/>
      <c r="AP833" s="5"/>
      <c r="AQ833" s="5"/>
      <c r="AR833" s="5"/>
      <c r="AS833" s="6"/>
      <c r="AU833" s="6"/>
      <c r="AW833" s="6"/>
      <c r="AY833" s="5"/>
      <c r="AZ833" s="5"/>
      <c r="BA833" s="5"/>
      <c r="BC833" s="6"/>
      <c r="BE833" s="6"/>
      <c r="BG833" s="6"/>
      <c r="BH833" s="5"/>
      <c r="BI833" s="5"/>
      <c r="BJ833" s="7"/>
    </row>
    <row r="834" s="1" customFormat="true" ht="14.25" hidden="false" customHeight="false" outlineLevel="0" collapsed="false">
      <c r="G834" s="2"/>
      <c r="M834" s="2"/>
      <c r="Z834" s="3"/>
      <c r="AL834" s="4"/>
      <c r="AM834" s="5"/>
      <c r="AN834" s="5"/>
      <c r="AO834" s="5"/>
      <c r="AP834" s="5"/>
      <c r="AQ834" s="5"/>
      <c r="AR834" s="5"/>
      <c r="AS834" s="6"/>
      <c r="AU834" s="6"/>
      <c r="AW834" s="6"/>
      <c r="AY834" s="5"/>
      <c r="AZ834" s="5"/>
      <c r="BA834" s="5"/>
      <c r="BC834" s="6"/>
      <c r="BE834" s="6"/>
      <c r="BG834" s="6"/>
      <c r="BH834" s="5"/>
      <c r="BI834" s="5"/>
      <c r="BJ834" s="7"/>
    </row>
    <row r="835" s="1" customFormat="true" ht="14.25" hidden="false" customHeight="false" outlineLevel="0" collapsed="false">
      <c r="G835" s="2"/>
      <c r="M835" s="2"/>
      <c r="Z835" s="3"/>
      <c r="AL835" s="4"/>
      <c r="AM835" s="5"/>
      <c r="AN835" s="5"/>
      <c r="AO835" s="5"/>
      <c r="AP835" s="5"/>
      <c r="AQ835" s="5"/>
      <c r="AR835" s="5"/>
      <c r="AS835" s="6"/>
      <c r="AU835" s="6"/>
      <c r="AW835" s="6"/>
      <c r="AY835" s="5"/>
      <c r="AZ835" s="5"/>
      <c r="BA835" s="5"/>
      <c r="BC835" s="6"/>
      <c r="BE835" s="6"/>
      <c r="BG835" s="6"/>
      <c r="BH835" s="5"/>
      <c r="BI835" s="5"/>
      <c r="BJ835" s="7"/>
    </row>
    <row r="836" s="1" customFormat="true" ht="14.25" hidden="false" customHeight="false" outlineLevel="0" collapsed="false">
      <c r="G836" s="2"/>
      <c r="M836" s="2"/>
      <c r="Z836" s="3"/>
      <c r="AL836" s="4"/>
      <c r="AM836" s="5"/>
      <c r="AN836" s="5"/>
      <c r="AO836" s="5"/>
      <c r="AP836" s="5"/>
      <c r="AQ836" s="5"/>
      <c r="AR836" s="5"/>
      <c r="AS836" s="6"/>
      <c r="AU836" s="6"/>
      <c r="AW836" s="6"/>
      <c r="AY836" s="5"/>
      <c r="AZ836" s="5"/>
      <c r="BA836" s="5"/>
      <c r="BC836" s="6"/>
      <c r="BE836" s="6"/>
      <c r="BG836" s="6"/>
      <c r="BH836" s="5"/>
      <c r="BI836" s="5"/>
      <c r="BJ836" s="7"/>
    </row>
    <row r="837" s="1" customFormat="true" ht="14.25" hidden="false" customHeight="false" outlineLevel="0" collapsed="false">
      <c r="G837" s="2"/>
      <c r="M837" s="2"/>
      <c r="Z837" s="3"/>
      <c r="AL837" s="4"/>
      <c r="AM837" s="5"/>
      <c r="AN837" s="5"/>
      <c r="AO837" s="5"/>
      <c r="AP837" s="5"/>
      <c r="AQ837" s="5"/>
      <c r="AR837" s="5"/>
      <c r="AS837" s="6"/>
      <c r="AU837" s="6"/>
      <c r="AW837" s="6"/>
      <c r="AY837" s="5"/>
      <c r="AZ837" s="5"/>
      <c r="BA837" s="5"/>
      <c r="BC837" s="6"/>
      <c r="BE837" s="6"/>
      <c r="BG837" s="6"/>
      <c r="BH837" s="5"/>
      <c r="BI837" s="5"/>
      <c r="BJ837" s="7"/>
    </row>
    <row r="838" s="1" customFormat="true" ht="14.25" hidden="false" customHeight="false" outlineLevel="0" collapsed="false">
      <c r="G838" s="2"/>
      <c r="M838" s="2"/>
      <c r="Z838" s="3"/>
      <c r="AL838" s="4"/>
      <c r="AM838" s="5"/>
      <c r="AN838" s="5"/>
      <c r="AO838" s="5"/>
      <c r="AP838" s="5"/>
      <c r="AQ838" s="5"/>
      <c r="AR838" s="5"/>
      <c r="AS838" s="6"/>
      <c r="AU838" s="6"/>
      <c r="AW838" s="6"/>
      <c r="AY838" s="5"/>
      <c r="AZ838" s="5"/>
      <c r="BA838" s="5"/>
      <c r="BC838" s="6"/>
      <c r="BE838" s="6"/>
      <c r="BG838" s="6"/>
      <c r="BH838" s="5"/>
      <c r="BI838" s="5"/>
      <c r="BJ838" s="7"/>
    </row>
    <row r="839" s="1" customFormat="true" ht="14.25" hidden="false" customHeight="false" outlineLevel="0" collapsed="false">
      <c r="G839" s="2"/>
      <c r="M839" s="2"/>
      <c r="Z839" s="3"/>
      <c r="AL839" s="4"/>
      <c r="AM839" s="5"/>
      <c r="AN839" s="5"/>
      <c r="AO839" s="5"/>
      <c r="AP839" s="5"/>
      <c r="AQ839" s="5"/>
      <c r="AR839" s="5"/>
      <c r="AS839" s="6"/>
      <c r="AU839" s="6"/>
      <c r="AW839" s="6"/>
      <c r="AY839" s="5"/>
      <c r="AZ839" s="5"/>
      <c r="BA839" s="5"/>
      <c r="BC839" s="6"/>
      <c r="BE839" s="6"/>
      <c r="BG839" s="6"/>
      <c r="BH839" s="5"/>
      <c r="BI839" s="5"/>
      <c r="BJ839" s="7"/>
    </row>
    <row r="840" s="1" customFormat="true" ht="14.25" hidden="false" customHeight="false" outlineLevel="0" collapsed="false">
      <c r="G840" s="2"/>
      <c r="M840" s="2"/>
      <c r="Z840" s="3"/>
      <c r="AL840" s="4"/>
      <c r="AM840" s="5"/>
      <c r="AN840" s="5"/>
      <c r="AO840" s="5"/>
      <c r="AP840" s="5"/>
      <c r="AQ840" s="5"/>
      <c r="AR840" s="5"/>
      <c r="AS840" s="6"/>
      <c r="AU840" s="6"/>
      <c r="AW840" s="6"/>
      <c r="AY840" s="5"/>
      <c r="AZ840" s="5"/>
      <c r="BA840" s="5"/>
      <c r="BC840" s="6"/>
      <c r="BE840" s="6"/>
      <c r="BG840" s="6"/>
      <c r="BH840" s="5"/>
      <c r="BI840" s="5"/>
      <c r="BJ840" s="7"/>
    </row>
    <row r="841" s="1" customFormat="true" ht="14.25" hidden="false" customHeight="false" outlineLevel="0" collapsed="false">
      <c r="G841" s="2"/>
      <c r="M841" s="2"/>
      <c r="Z841" s="3"/>
      <c r="AL841" s="4"/>
      <c r="AM841" s="5"/>
      <c r="AN841" s="5"/>
      <c r="AO841" s="5"/>
      <c r="AP841" s="5"/>
      <c r="AQ841" s="5"/>
      <c r="AR841" s="5"/>
      <c r="AS841" s="6"/>
      <c r="AU841" s="6"/>
      <c r="AW841" s="6"/>
      <c r="AY841" s="5"/>
      <c r="AZ841" s="5"/>
      <c r="BA841" s="5"/>
      <c r="BC841" s="6"/>
      <c r="BE841" s="6"/>
      <c r="BG841" s="6"/>
      <c r="BH841" s="5"/>
      <c r="BI841" s="5"/>
      <c r="BJ841" s="7"/>
    </row>
    <row r="842" s="1" customFormat="true" ht="14.25" hidden="false" customHeight="false" outlineLevel="0" collapsed="false">
      <c r="G842" s="2"/>
      <c r="M842" s="2"/>
      <c r="Z842" s="3"/>
      <c r="AL842" s="4"/>
      <c r="AM842" s="5"/>
      <c r="AN842" s="5"/>
      <c r="AO842" s="5"/>
      <c r="AP842" s="5"/>
      <c r="AQ842" s="5"/>
      <c r="AR842" s="5"/>
      <c r="AS842" s="6"/>
      <c r="AU842" s="6"/>
      <c r="AW842" s="6"/>
      <c r="AY842" s="5"/>
      <c r="AZ842" s="5"/>
      <c r="BA842" s="5"/>
      <c r="BC842" s="6"/>
      <c r="BE842" s="6"/>
      <c r="BG842" s="6"/>
      <c r="BH842" s="5"/>
      <c r="BI842" s="5"/>
      <c r="BJ842" s="7"/>
    </row>
    <row r="843" s="1" customFormat="true" ht="14.25" hidden="false" customHeight="false" outlineLevel="0" collapsed="false">
      <c r="G843" s="2"/>
      <c r="M843" s="2"/>
      <c r="Z843" s="3"/>
      <c r="AL843" s="4"/>
      <c r="AM843" s="5"/>
      <c r="AN843" s="5"/>
      <c r="AO843" s="5"/>
      <c r="AP843" s="5"/>
      <c r="AQ843" s="5"/>
      <c r="AR843" s="5"/>
      <c r="AS843" s="6"/>
      <c r="AU843" s="6"/>
      <c r="AW843" s="6"/>
      <c r="AY843" s="5"/>
      <c r="AZ843" s="5"/>
      <c r="BA843" s="5"/>
      <c r="BC843" s="6"/>
      <c r="BE843" s="6"/>
      <c r="BG843" s="6"/>
      <c r="BH843" s="5"/>
      <c r="BI843" s="5"/>
      <c r="BJ843" s="7"/>
    </row>
    <row r="844" s="1" customFormat="true" ht="14.25" hidden="false" customHeight="false" outlineLevel="0" collapsed="false">
      <c r="G844" s="2"/>
      <c r="M844" s="2"/>
      <c r="Z844" s="3"/>
      <c r="AL844" s="4"/>
      <c r="AM844" s="5"/>
      <c r="AN844" s="5"/>
      <c r="AO844" s="5"/>
      <c r="AP844" s="5"/>
      <c r="AQ844" s="5"/>
      <c r="AR844" s="5"/>
      <c r="AS844" s="6"/>
      <c r="AU844" s="6"/>
      <c r="AW844" s="6"/>
      <c r="AY844" s="5"/>
      <c r="AZ844" s="5"/>
      <c r="BA844" s="5"/>
      <c r="BC844" s="6"/>
      <c r="BE844" s="6"/>
      <c r="BG844" s="6"/>
      <c r="BH844" s="5"/>
      <c r="BI844" s="5"/>
      <c r="BJ844" s="7"/>
    </row>
    <row r="845" s="1" customFormat="true" ht="14.25" hidden="false" customHeight="false" outlineLevel="0" collapsed="false">
      <c r="G845" s="2"/>
      <c r="M845" s="2"/>
      <c r="Z845" s="3"/>
      <c r="AL845" s="4"/>
      <c r="AM845" s="5"/>
      <c r="AN845" s="5"/>
      <c r="AO845" s="5"/>
      <c r="AP845" s="5"/>
      <c r="AQ845" s="5"/>
      <c r="AR845" s="5"/>
      <c r="AS845" s="6"/>
      <c r="AU845" s="6"/>
      <c r="AW845" s="6"/>
      <c r="AY845" s="5"/>
      <c r="AZ845" s="5"/>
      <c r="BA845" s="5"/>
      <c r="BC845" s="6"/>
      <c r="BE845" s="6"/>
      <c r="BG845" s="6"/>
      <c r="BH845" s="5"/>
      <c r="BI845" s="5"/>
      <c r="BJ845" s="7"/>
    </row>
    <row r="846" s="1" customFormat="true" ht="14.25" hidden="false" customHeight="false" outlineLevel="0" collapsed="false">
      <c r="G846" s="2"/>
      <c r="M846" s="2"/>
      <c r="Z846" s="3"/>
      <c r="AL846" s="4"/>
      <c r="AM846" s="5"/>
      <c r="AN846" s="5"/>
      <c r="AO846" s="5"/>
      <c r="AP846" s="5"/>
      <c r="AQ846" s="5"/>
      <c r="AR846" s="5"/>
      <c r="AS846" s="6"/>
      <c r="AU846" s="6"/>
      <c r="AW846" s="6"/>
      <c r="AY846" s="5"/>
      <c r="AZ846" s="5"/>
      <c r="BA846" s="5"/>
      <c r="BC846" s="6"/>
      <c r="BE846" s="6"/>
      <c r="BG846" s="6"/>
      <c r="BH846" s="5"/>
      <c r="BI846" s="5"/>
      <c r="BJ846" s="7"/>
    </row>
    <row r="847" s="1" customFormat="true" ht="14.25" hidden="false" customHeight="false" outlineLevel="0" collapsed="false">
      <c r="G847" s="2"/>
      <c r="M847" s="2"/>
      <c r="Z847" s="3"/>
      <c r="AL847" s="4"/>
      <c r="AM847" s="5"/>
      <c r="AN847" s="5"/>
      <c r="AO847" s="5"/>
      <c r="AP847" s="5"/>
      <c r="AQ847" s="5"/>
      <c r="AR847" s="5"/>
      <c r="AS847" s="6"/>
      <c r="AU847" s="6"/>
      <c r="AW847" s="6"/>
      <c r="AY847" s="5"/>
      <c r="AZ847" s="5"/>
      <c r="BA847" s="5"/>
      <c r="BC847" s="6"/>
      <c r="BE847" s="6"/>
      <c r="BG847" s="6"/>
      <c r="BH847" s="5"/>
      <c r="BI847" s="5"/>
      <c r="BJ847" s="7"/>
    </row>
    <row r="848" s="1" customFormat="true" ht="14.25" hidden="false" customHeight="false" outlineLevel="0" collapsed="false">
      <c r="G848" s="2"/>
      <c r="M848" s="2"/>
      <c r="Z848" s="3"/>
      <c r="AL848" s="4"/>
      <c r="AM848" s="5"/>
      <c r="AN848" s="5"/>
      <c r="AO848" s="5"/>
      <c r="AP848" s="5"/>
      <c r="AQ848" s="5"/>
      <c r="AR848" s="5"/>
      <c r="AS848" s="6"/>
      <c r="AU848" s="6"/>
      <c r="AW848" s="6"/>
      <c r="AY848" s="5"/>
      <c r="AZ848" s="5"/>
      <c r="BA848" s="5"/>
      <c r="BC848" s="6"/>
      <c r="BE848" s="6"/>
      <c r="BG848" s="6"/>
      <c r="BH848" s="5"/>
      <c r="BI848" s="5"/>
      <c r="BJ848" s="7"/>
    </row>
    <row r="849" s="1" customFormat="true" ht="14.25" hidden="false" customHeight="false" outlineLevel="0" collapsed="false">
      <c r="G849" s="2"/>
      <c r="M849" s="2"/>
      <c r="Z849" s="3"/>
      <c r="AL849" s="4"/>
      <c r="AM849" s="5"/>
      <c r="AN849" s="5"/>
      <c r="AO849" s="5"/>
      <c r="AP849" s="5"/>
      <c r="AQ849" s="5"/>
      <c r="AR849" s="5"/>
      <c r="AS849" s="6"/>
      <c r="AU849" s="6"/>
      <c r="AW849" s="6"/>
      <c r="AY849" s="5"/>
      <c r="AZ849" s="5"/>
      <c r="BA849" s="5"/>
      <c r="BC849" s="6"/>
      <c r="BE849" s="6"/>
      <c r="BG849" s="6"/>
      <c r="BH849" s="5"/>
      <c r="BI849" s="5"/>
      <c r="BJ849" s="7"/>
    </row>
    <row r="850" s="1" customFormat="true" ht="14.25" hidden="false" customHeight="false" outlineLevel="0" collapsed="false">
      <c r="G850" s="2"/>
      <c r="M850" s="2"/>
      <c r="Z850" s="3"/>
      <c r="AL850" s="4"/>
      <c r="AM850" s="5"/>
      <c r="AN850" s="5"/>
      <c r="AO850" s="5"/>
      <c r="AP850" s="5"/>
      <c r="AQ850" s="5"/>
      <c r="AR850" s="5"/>
      <c r="AS850" s="6"/>
      <c r="AU850" s="6"/>
      <c r="AW850" s="6"/>
      <c r="AY850" s="5"/>
      <c r="AZ850" s="5"/>
      <c r="BA850" s="5"/>
      <c r="BC850" s="6"/>
      <c r="BE850" s="6"/>
      <c r="BG850" s="6"/>
      <c r="BH850" s="5"/>
      <c r="BI850" s="5"/>
      <c r="BJ850" s="7"/>
    </row>
    <row r="851" s="1" customFormat="true" ht="14.25" hidden="false" customHeight="false" outlineLevel="0" collapsed="false">
      <c r="G851" s="2"/>
      <c r="M851" s="2"/>
      <c r="Z851" s="3"/>
      <c r="AL851" s="4"/>
      <c r="AM851" s="5"/>
      <c r="AN851" s="5"/>
      <c r="AO851" s="5"/>
      <c r="AP851" s="5"/>
      <c r="AQ851" s="5"/>
      <c r="AR851" s="5"/>
      <c r="AS851" s="6"/>
      <c r="AU851" s="6"/>
      <c r="AW851" s="6"/>
      <c r="AY851" s="5"/>
      <c r="AZ851" s="5"/>
      <c r="BA851" s="5"/>
      <c r="BC851" s="6"/>
      <c r="BE851" s="6"/>
      <c r="BG851" s="6"/>
      <c r="BH851" s="5"/>
      <c r="BI851" s="5"/>
      <c r="BJ851" s="7"/>
    </row>
    <row r="852" s="1" customFormat="true" ht="14.25" hidden="false" customHeight="false" outlineLevel="0" collapsed="false">
      <c r="G852" s="2"/>
      <c r="M852" s="2"/>
      <c r="Z852" s="3"/>
      <c r="AL852" s="4"/>
      <c r="AM852" s="5"/>
      <c r="AN852" s="5"/>
      <c r="AO852" s="5"/>
      <c r="AP852" s="5"/>
      <c r="AQ852" s="5"/>
      <c r="AR852" s="5"/>
      <c r="AS852" s="6"/>
      <c r="AU852" s="6"/>
      <c r="AW852" s="6"/>
      <c r="AY852" s="5"/>
      <c r="AZ852" s="5"/>
      <c r="BA852" s="5"/>
      <c r="BC852" s="6"/>
      <c r="BE852" s="6"/>
      <c r="BG852" s="6"/>
      <c r="BH852" s="5"/>
      <c r="BI852" s="5"/>
      <c r="BJ852" s="7"/>
    </row>
    <row r="853" s="1" customFormat="true" ht="14.25" hidden="false" customHeight="false" outlineLevel="0" collapsed="false">
      <c r="G853" s="2"/>
      <c r="M853" s="2"/>
      <c r="Z853" s="3"/>
      <c r="AL853" s="4"/>
      <c r="AM853" s="5"/>
      <c r="AN853" s="5"/>
      <c r="AO853" s="5"/>
      <c r="AP853" s="5"/>
      <c r="AQ853" s="5"/>
      <c r="AR853" s="5"/>
      <c r="AS853" s="6"/>
      <c r="AU853" s="6"/>
      <c r="AW853" s="6"/>
      <c r="AY853" s="5"/>
      <c r="AZ853" s="5"/>
      <c r="BA853" s="5"/>
      <c r="BC853" s="6"/>
      <c r="BE853" s="6"/>
      <c r="BG853" s="6"/>
      <c r="BH853" s="5"/>
      <c r="BI853" s="5"/>
      <c r="BJ853" s="7"/>
    </row>
    <row r="854" s="1" customFormat="true" ht="14.25" hidden="false" customHeight="false" outlineLevel="0" collapsed="false">
      <c r="G854" s="2"/>
      <c r="M854" s="2"/>
      <c r="Z854" s="3"/>
      <c r="AL854" s="4"/>
      <c r="AM854" s="5"/>
      <c r="AN854" s="5"/>
      <c r="AO854" s="5"/>
      <c r="AP854" s="5"/>
      <c r="AQ854" s="5"/>
      <c r="AR854" s="5"/>
      <c r="AS854" s="6"/>
      <c r="AU854" s="6"/>
      <c r="AW854" s="6"/>
      <c r="AY854" s="5"/>
      <c r="AZ854" s="5"/>
      <c r="BA854" s="5"/>
      <c r="BC854" s="6"/>
      <c r="BE854" s="6"/>
      <c r="BG854" s="6"/>
      <c r="BH854" s="5"/>
      <c r="BI854" s="5"/>
      <c r="BJ854" s="7"/>
    </row>
    <row r="855" s="1" customFormat="true" ht="14.25" hidden="false" customHeight="false" outlineLevel="0" collapsed="false">
      <c r="G855" s="2"/>
      <c r="M855" s="2"/>
      <c r="Z855" s="3"/>
      <c r="AL855" s="4"/>
      <c r="AM855" s="5"/>
      <c r="AN855" s="5"/>
      <c r="AO855" s="5"/>
      <c r="AP855" s="5"/>
      <c r="AQ855" s="5"/>
      <c r="AR855" s="5"/>
      <c r="AS855" s="6"/>
      <c r="AU855" s="6"/>
      <c r="AW855" s="6"/>
      <c r="AY855" s="5"/>
      <c r="AZ855" s="5"/>
      <c r="BA855" s="5"/>
      <c r="BC855" s="6"/>
      <c r="BE855" s="6"/>
      <c r="BG855" s="6"/>
      <c r="BH855" s="5"/>
      <c r="BI855" s="5"/>
      <c r="BJ855" s="7"/>
    </row>
    <row r="856" s="1" customFormat="true" ht="14.25" hidden="false" customHeight="false" outlineLevel="0" collapsed="false">
      <c r="G856" s="2"/>
      <c r="M856" s="2"/>
      <c r="Z856" s="3"/>
      <c r="AL856" s="4"/>
      <c r="AM856" s="5"/>
      <c r="AN856" s="5"/>
      <c r="AO856" s="5"/>
      <c r="AP856" s="5"/>
      <c r="AQ856" s="5"/>
      <c r="AR856" s="5"/>
      <c r="AS856" s="6"/>
      <c r="AU856" s="6"/>
      <c r="AW856" s="6"/>
      <c r="AY856" s="5"/>
      <c r="AZ856" s="5"/>
      <c r="BA856" s="5"/>
      <c r="BC856" s="6"/>
      <c r="BE856" s="6"/>
      <c r="BG856" s="6"/>
      <c r="BH856" s="5"/>
      <c r="BI856" s="5"/>
      <c r="BJ856" s="7"/>
    </row>
    <row r="857" s="1" customFormat="true" ht="14.25" hidden="false" customHeight="false" outlineLevel="0" collapsed="false">
      <c r="G857" s="2"/>
      <c r="M857" s="2"/>
      <c r="Z857" s="3"/>
      <c r="AL857" s="4"/>
      <c r="AM857" s="5"/>
      <c r="AN857" s="5"/>
      <c r="AO857" s="5"/>
      <c r="AP857" s="5"/>
      <c r="AQ857" s="5"/>
      <c r="AR857" s="5"/>
      <c r="AS857" s="6"/>
      <c r="AU857" s="6"/>
      <c r="AW857" s="6"/>
      <c r="AY857" s="5"/>
      <c r="AZ857" s="5"/>
      <c r="BA857" s="5"/>
      <c r="BC857" s="6"/>
      <c r="BE857" s="6"/>
      <c r="BG857" s="6"/>
      <c r="BH857" s="5"/>
      <c r="BI857" s="5"/>
      <c r="BJ857" s="7"/>
    </row>
    <row r="858" s="1" customFormat="true" ht="14.25" hidden="false" customHeight="false" outlineLevel="0" collapsed="false">
      <c r="G858" s="2"/>
      <c r="M858" s="2"/>
      <c r="Z858" s="3"/>
      <c r="AL858" s="4"/>
      <c r="AM858" s="5"/>
      <c r="AN858" s="5"/>
      <c r="AO858" s="5"/>
      <c r="AP858" s="5"/>
      <c r="AQ858" s="5"/>
      <c r="AR858" s="5"/>
      <c r="AS858" s="6"/>
      <c r="AU858" s="6"/>
      <c r="AW858" s="6"/>
      <c r="AY858" s="5"/>
      <c r="AZ858" s="5"/>
      <c r="BA858" s="5"/>
      <c r="BC858" s="6"/>
      <c r="BE858" s="6"/>
      <c r="BG858" s="6"/>
      <c r="BH858" s="5"/>
      <c r="BI858" s="5"/>
      <c r="BJ858" s="7"/>
    </row>
    <row r="859" s="1" customFormat="true" ht="14.25" hidden="false" customHeight="false" outlineLevel="0" collapsed="false">
      <c r="G859" s="2"/>
      <c r="M859" s="2"/>
      <c r="Z859" s="3"/>
      <c r="AL859" s="4"/>
      <c r="AM859" s="5"/>
      <c r="AN859" s="5"/>
      <c r="AO859" s="5"/>
      <c r="AP859" s="5"/>
      <c r="AQ859" s="5"/>
      <c r="AR859" s="5"/>
      <c r="AS859" s="6"/>
      <c r="AU859" s="6"/>
      <c r="AW859" s="6"/>
      <c r="AY859" s="5"/>
      <c r="AZ859" s="5"/>
      <c r="BA859" s="5"/>
      <c r="BC859" s="6"/>
      <c r="BE859" s="6"/>
      <c r="BG859" s="6"/>
      <c r="BH859" s="5"/>
      <c r="BI859" s="5"/>
      <c r="BJ859" s="7"/>
    </row>
    <row r="860" s="1" customFormat="true" ht="14.25" hidden="false" customHeight="false" outlineLevel="0" collapsed="false">
      <c r="G860" s="2"/>
      <c r="M860" s="2"/>
      <c r="Z860" s="3"/>
      <c r="AL860" s="4"/>
      <c r="AM860" s="5"/>
      <c r="AN860" s="5"/>
      <c r="AO860" s="5"/>
      <c r="AP860" s="5"/>
      <c r="AQ860" s="5"/>
      <c r="AR860" s="5"/>
      <c r="AS860" s="6"/>
      <c r="AU860" s="6"/>
      <c r="AW860" s="6"/>
      <c r="AY860" s="5"/>
      <c r="AZ860" s="5"/>
      <c r="BA860" s="5"/>
      <c r="BC860" s="6"/>
      <c r="BE860" s="6"/>
      <c r="BG860" s="6"/>
      <c r="BH860" s="5"/>
      <c r="BI860" s="5"/>
      <c r="BJ860" s="7"/>
    </row>
    <row r="861" s="1" customFormat="true" ht="14.25" hidden="false" customHeight="false" outlineLevel="0" collapsed="false">
      <c r="G861" s="2"/>
      <c r="M861" s="2"/>
      <c r="Z861" s="3"/>
      <c r="AL861" s="4"/>
      <c r="AM861" s="5"/>
      <c r="AN861" s="5"/>
      <c r="AO861" s="5"/>
      <c r="AP861" s="5"/>
      <c r="AQ861" s="5"/>
      <c r="AR861" s="5"/>
      <c r="AS861" s="6"/>
      <c r="AU861" s="6"/>
      <c r="AW861" s="6"/>
      <c r="AY861" s="5"/>
      <c r="AZ861" s="5"/>
      <c r="BA861" s="5"/>
      <c r="BC861" s="6"/>
      <c r="BE861" s="6"/>
      <c r="BG861" s="6"/>
      <c r="BH861" s="5"/>
      <c r="BI861" s="5"/>
      <c r="BJ861" s="7"/>
    </row>
    <row r="862" s="1" customFormat="true" ht="14.25" hidden="false" customHeight="false" outlineLevel="0" collapsed="false">
      <c r="G862" s="2"/>
      <c r="M862" s="2"/>
      <c r="Z862" s="3"/>
      <c r="AL862" s="4"/>
      <c r="AM862" s="5"/>
      <c r="AN862" s="5"/>
      <c r="AO862" s="5"/>
      <c r="AP862" s="5"/>
      <c r="AQ862" s="5"/>
      <c r="AR862" s="5"/>
      <c r="AS862" s="6"/>
      <c r="AU862" s="6"/>
      <c r="AW862" s="6"/>
      <c r="AY862" s="5"/>
      <c r="AZ862" s="5"/>
      <c r="BA862" s="5"/>
      <c r="BC862" s="6"/>
      <c r="BE862" s="6"/>
      <c r="BG862" s="6"/>
      <c r="BH862" s="5"/>
      <c r="BI862" s="5"/>
      <c r="BJ862" s="7"/>
    </row>
    <row r="863" s="1" customFormat="true" ht="14.25" hidden="false" customHeight="false" outlineLevel="0" collapsed="false">
      <c r="G863" s="2"/>
      <c r="M863" s="2"/>
      <c r="Z863" s="3"/>
      <c r="AL863" s="4"/>
      <c r="AM863" s="5"/>
      <c r="AN863" s="5"/>
      <c r="AO863" s="5"/>
      <c r="AP863" s="5"/>
      <c r="AQ863" s="5"/>
      <c r="AR863" s="5"/>
      <c r="AS863" s="6"/>
      <c r="AU863" s="6"/>
      <c r="AW863" s="6"/>
      <c r="AY863" s="5"/>
      <c r="AZ863" s="5"/>
      <c r="BA863" s="5"/>
      <c r="BC863" s="6"/>
      <c r="BE863" s="6"/>
      <c r="BG863" s="6"/>
      <c r="BH863" s="5"/>
      <c r="BI863" s="5"/>
      <c r="BJ863" s="7"/>
    </row>
    <row r="864" s="1" customFormat="true" ht="14.25" hidden="false" customHeight="false" outlineLevel="0" collapsed="false">
      <c r="G864" s="2"/>
      <c r="M864" s="2"/>
      <c r="Z864" s="3"/>
      <c r="AL864" s="4"/>
      <c r="AM864" s="5"/>
      <c r="AN864" s="5"/>
      <c r="AO864" s="5"/>
      <c r="AP864" s="5"/>
      <c r="AQ864" s="5"/>
      <c r="AR864" s="5"/>
      <c r="AS864" s="6"/>
      <c r="AU864" s="6"/>
      <c r="AW864" s="6"/>
      <c r="AY864" s="5"/>
      <c r="AZ864" s="5"/>
      <c r="BA864" s="5"/>
      <c r="BC864" s="6"/>
      <c r="BE864" s="6"/>
      <c r="BG864" s="6"/>
      <c r="BH864" s="5"/>
      <c r="BI864" s="5"/>
      <c r="BJ864" s="7"/>
    </row>
    <row r="865" s="1" customFormat="true" ht="14.25" hidden="false" customHeight="false" outlineLevel="0" collapsed="false">
      <c r="G865" s="2"/>
      <c r="M865" s="2"/>
      <c r="Z865" s="3"/>
      <c r="AL865" s="4"/>
      <c r="AM865" s="5"/>
      <c r="AN865" s="5"/>
      <c r="AO865" s="5"/>
      <c r="AP865" s="5"/>
      <c r="AQ865" s="5"/>
      <c r="AR865" s="5"/>
      <c r="AS865" s="6"/>
      <c r="AU865" s="6"/>
      <c r="AW865" s="6"/>
      <c r="AY865" s="5"/>
      <c r="AZ865" s="5"/>
      <c r="BA865" s="5"/>
      <c r="BC865" s="6"/>
      <c r="BE865" s="6"/>
      <c r="BG865" s="6"/>
      <c r="BH865" s="5"/>
      <c r="BI865" s="5"/>
      <c r="BJ865" s="7"/>
    </row>
    <row r="866" s="1" customFormat="true" ht="14.25" hidden="false" customHeight="false" outlineLevel="0" collapsed="false">
      <c r="G866" s="2"/>
      <c r="M866" s="2"/>
      <c r="Z866" s="3"/>
      <c r="AL866" s="4"/>
      <c r="AM866" s="5"/>
      <c r="AN866" s="5"/>
      <c r="AO866" s="5"/>
      <c r="AP866" s="5"/>
      <c r="AQ866" s="5"/>
      <c r="AR866" s="5"/>
      <c r="AS866" s="6"/>
      <c r="AU866" s="6"/>
      <c r="AW866" s="6"/>
      <c r="AY866" s="5"/>
      <c r="AZ866" s="5"/>
      <c r="BA866" s="5"/>
      <c r="BC866" s="6"/>
      <c r="BE866" s="6"/>
      <c r="BG866" s="6"/>
      <c r="BH866" s="5"/>
      <c r="BI866" s="5"/>
      <c r="BJ866" s="7"/>
    </row>
    <row r="867" s="1" customFormat="true" ht="14.25" hidden="false" customHeight="false" outlineLevel="0" collapsed="false">
      <c r="G867" s="2"/>
      <c r="M867" s="2"/>
      <c r="Z867" s="3"/>
      <c r="AL867" s="4"/>
      <c r="AM867" s="5"/>
      <c r="AN867" s="5"/>
      <c r="AO867" s="5"/>
      <c r="AP867" s="5"/>
      <c r="AQ867" s="5"/>
      <c r="AR867" s="5"/>
      <c r="AS867" s="6"/>
      <c r="AU867" s="6"/>
      <c r="AW867" s="6"/>
      <c r="AY867" s="5"/>
      <c r="AZ867" s="5"/>
      <c r="BA867" s="5"/>
      <c r="BC867" s="6"/>
      <c r="BE867" s="6"/>
      <c r="BG867" s="6"/>
      <c r="BH867" s="5"/>
      <c r="BI867" s="5"/>
      <c r="BJ867" s="7"/>
    </row>
    <row r="868" s="1" customFormat="true" ht="14.25" hidden="false" customHeight="false" outlineLevel="0" collapsed="false">
      <c r="G868" s="2"/>
      <c r="M868" s="2"/>
      <c r="Z868" s="3"/>
      <c r="AL868" s="4"/>
      <c r="AM868" s="5"/>
      <c r="AN868" s="5"/>
      <c r="AO868" s="5"/>
      <c r="AP868" s="5"/>
      <c r="AQ868" s="5"/>
      <c r="AR868" s="5"/>
      <c r="AS868" s="6"/>
      <c r="AU868" s="6"/>
      <c r="AW868" s="6"/>
      <c r="AY868" s="5"/>
      <c r="AZ868" s="5"/>
      <c r="BA868" s="5"/>
      <c r="BC868" s="6"/>
      <c r="BE868" s="6"/>
      <c r="BG868" s="6"/>
      <c r="BH868" s="5"/>
      <c r="BI868" s="5"/>
      <c r="BJ868" s="7"/>
    </row>
    <row r="869" s="1" customFormat="true" ht="14.25" hidden="false" customHeight="false" outlineLevel="0" collapsed="false">
      <c r="G869" s="2"/>
      <c r="M869" s="2"/>
      <c r="Z869" s="3"/>
      <c r="AL869" s="4"/>
      <c r="AM869" s="5"/>
      <c r="AN869" s="5"/>
      <c r="AO869" s="5"/>
      <c r="AP869" s="5"/>
      <c r="AQ869" s="5"/>
      <c r="AR869" s="5"/>
      <c r="AS869" s="6"/>
      <c r="AU869" s="6"/>
      <c r="AW869" s="6"/>
      <c r="AY869" s="5"/>
      <c r="AZ869" s="5"/>
      <c r="BA869" s="5"/>
      <c r="BC869" s="6"/>
      <c r="BE869" s="6"/>
      <c r="BG869" s="6"/>
      <c r="BH869" s="5"/>
      <c r="BI869" s="5"/>
      <c r="BJ869" s="7"/>
    </row>
    <row r="870" s="1" customFormat="true" ht="14.25" hidden="false" customHeight="false" outlineLevel="0" collapsed="false">
      <c r="G870" s="2"/>
      <c r="M870" s="2"/>
      <c r="Z870" s="3"/>
      <c r="AL870" s="4"/>
      <c r="AM870" s="5"/>
      <c r="AN870" s="5"/>
      <c r="AO870" s="5"/>
      <c r="AP870" s="5"/>
      <c r="AQ870" s="5"/>
      <c r="AR870" s="5"/>
      <c r="AS870" s="6"/>
      <c r="AU870" s="6"/>
      <c r="AW870" s="6"/>
      <c r="AY870" s="5"/>
      <c r="AZ870" s="5"/>
      <c r="BA870" s="5"/>
      <c r="BC870" s="6"/>
      <c r="BE870" s="6"/>
      <c r="BG870" s="6"/>
      <c r="BH870" s="5"/>
      <c r="BI870" s="5"/>
      <c r="BJ870" s="7"/>
    </row>
    <row r="871" s="1" customFormat="true" ht="14.25" hidden="false" customHeight="false" outlineLevel="0" collapsed="false">
      <c r="G871" s="2"/>
      <c r="M871" s="2"/>
      <c r="Z871" s="3"/>
      <c r="AL871" s="4"/>
      <c r="AM871" s="5"/>
      <c r="AN871" s="5"/>
      <c r="AO871" s="5"/>
      <c r="AP871" s="5"/>
      <c r="AQ871" s="5"/>
      <c r="AR871" s="5"/>
      <c r="AS871" s="6"/>
      <c r="AU871" s="6"/>
      <c r="AW871" s="6"/>
      <c r="AY871" s="5"/>
      <c r="AZ871" s="5"/>
      <c r="BA871" s="5"/>
      <c r="BC871" s="6"/>
      <c r="BE871" s="6"/>
      <c r="BG871" s="6"/>
      <c r="BH871" s="5"/>
      <c r="BI871" s="5"/>
      <c r="BJ871" s="7"/>
    </row>
    <row r="872" s="1" customFormat="true" ht="14.25" hidden="false" customHeight="false" outlineLevel="0" collapsed="false">
      <c r="G872" s="2"/>
      <c r="M872" s="2"/>
      <c r="Z872" s="3"/>
      <c r="AL872" s="4"/>
      <c r="AM872" s="5"/>
      <c r="AN872" s="5"/>
      <c r="AO872" s="5"/>
      <c r="AP872" s="5"/>
      <c r="AQ872" s="5"/>
      <c r="AR872" s="5"/>
      <c r="AS872" s="6"/>
      <c r="AU872" s="6"/>
      <c r="AW872" s="6"/>
      <c r="AY872" s="5"/>
      <c r="AZ872" s="5"/>
      <c r="BA872" s="5"/>
      <c r="BC872" s="6"/>
      <c r="BE872" s="6"/>
      <c r="BG872" s="6"/>
      <c r="BH872" s="5"/>
      <c r="BI872" s="5"/>
      <c r="BJ872" s="7"/>
    </row>
    <row r="873" s="1" customFormat="true" ht="14.25" hidden="false" customHeight="false" outlineLevel="0" collapsed="false">
      <c r="G873" s="2"/>
      <c r="M873" s="2"/>
      <c r="Z873" s="3"/>
      <c r="AL873" s="4"/>
      <c r="AM873" s="5"/>
      <c r="AN873" s="5"/>
      <c r="AO873" s="5"/>
      <c r="AP873" s="5"/>
      <c r="AQ873" s="5"/>
      <c r="AR873" s="5"/>
      <c r="AS873" s="6"/>
      <c r="AU873" s="6"/>
      <c r="AW873" s="6"/>
      <c r="AY873" s="5"/>
      <c r="AZ873" s="5"/>
      <c r="BA873" s="5"/>
      <c r="BC873" s="6"/>
      <c r="BE873" s="6"/>
      <c r="BG873" s="6"/>
      <c r="BH873" s="5"/>
      <c r="BI873" s="5"/>
      <c r="BJ873" s="7"/>
    </row>
    <row r="874" s="1" customFormat="true" ht="14.25" hidden="false" customHeight="false" outlineLevel="0" collapsed="false">
      <c r="G874" s="2"/>
      <c r="M874" s="2"/>
      <c r="Z874" s="3"/>
      <c r="AL874" s="4"/>
      <c r="AM874" s="5"/>
      <c r="AN874" s="5"/>
      <c r="AO874" s="5"/>
      <c r="AP874" s="5"/>
      <c r="AQ874" s="5"/>
      <c r="AR874" s="5"/>
      <c r="AS874" s="6"/>
      <c r="AU874" s="6"/>
      <c r="AW874" s="6"/>
      <c r="AY874" s="5"/>
      <c r="AZ874" s="5"/>
      <c r="BA874" s="5"/>
      <c r="BC874" s="6"/>
      <c r="BE874" s="6"/>
      <c r="BG874" s="6"/>
      <c r="BH874" s="5"/>
      <c r="BI874" s="5"/>
      <c r="BJ874" s="7"/>
    </row>
    <row r="875" s="1" customFormat="true" ht="14.25" hidden="false" customHeight="false" outlineLevel="0" collapsed="false">
      <c r="G875" s="2"/>
      <c r="M875" s="2"/>
      <c r="Z875" s="3"/>
      <c r="AL875" s="4"/>
      <c r="AM875" s="5"/>
      <c r="AN875" s="5"/>
      <c r="AO875" s="5"/>
      <c r="AP875" s="5"/>
      <c r="AQ875" s="5"/>
      <c r="AR875" s="5"/>
      <c r="AS875" s="6"/>
      <c r="AU875" s="6"/>
      <c r="AW875" s="6"/>
      <c r="AY875" s="5"/>
      <c r="AZ875" s="5"/>
      <c r="BA875" s="5"/>
      <c r="BC875" s="6"/>
      <c r="BE875" s="6"/>
      <c r="BG875" s="6"/>
      <c r="BH875" s="5"/>
      <c r="BI875" s="5"/>
      <c r="BJ875" s="7"/>
    </row>
    <row r="876" s="1" customFormat="true" ht="14.25" hidden="false" customHeight="false" outlineLevel="0" collapsed="false">
      <c r="G876" s="2"/>
      <c r="M876" s="2"/>
      <c r="Z876" s="3"/>
      <c r="AL876" s="4"/>
      <c r="AM876" s="5"/>
      <c r="AN876" s="5"/>
      <c r="AO876" s="5"/>
      <c r="AP876" s="5"/>
      <c r="AQ876" s="5"/>
      <c r="AR876" s="5"/>
      <c r="AS876" s="6"/>
      <c r="AU876" s="6"/>
      <c r="AW876" s="6"/>
      <c r="AY876" s="5"/>
      <c r="AZ876" s="5"/>
      <c r="BA876" s="5"/>
      <c r="BC876" s="6"/>
      <c r="BE876" s="6"/>
      <c r="BG876" s="6"/>
      <c r="BH876" s="5"/>
      <c r="BI876" s="5"/>
      <c r="BJ876" s="7"/>
    </row>
    <row r="877" s="1" customFormat="true" ht="14.25" hidden="false" customHeight="false" outlineLevel="0" collapsed="false">
      <c r="G877" s="2"/>
      <c r="M877" s="2"/>
      <c r="Z877" s="3"/>
      <c r="AL877" s="4"/>
      <c r="AM877" s="5"/>
      <c r="AN877" s="5"/>
      <c r="AO877" s="5"/>
      <c r="AP877" s="5"/>
      <c r="AQ877" s="5"/>
      <c r="AR877" s="5"/>
      <c r="AS877" s="6"/>
      <c r="AU877" s="6"/>
      <c r="AW877" s="6"/>
      <c r="AY877" s="5"/>
      <c r="AZ877" s="5"/>
      <c r="BA877" s="5"/>
      <c r="BC877" s="6"/>
      <c r="BE877" s="6"/>
      <c r="BG877" s="6"/>
      <c r="BH877" s="5"/>
      <c r="BI877" s="5"/>
      <c r="BJ877" s="7"/>
    </row>
    <row r="878" s="1" customFormat="true" ht="14.25" hidden="false" customHeight="false" outlineLevel="0" collapsed="false">
      <c r="G878" s="2"/>
      <c r="M878" s="2"/>
      <c r="Z878" s="3"/>
      <c r="AL878" s="4"/>
      <c r="AM878" s="5"/>
      <c r="AN878" s="5"/>
      <c r="AO878" s="5"/>
      <c r="AP878" s="5"/>
      <c r="AQ878" s="5"/>
      <c r="AR878" s="5"/>
      <c r="AS878" s="6"/>
      <c r="AU878" s="6"/>
      <c r="AW878" s="6"/>
      <c r="AY878" s="5"/>
      <c r="AZ878" s="5"/>
      <c r="BA878" s="5"/>
      <c r="BC878" s="6"/>
      <c r="BE878" s="6"/>
      <c r="BG878" s="6"/>
      <c r="BH878" s="5"/>
      <c r="BI878" s="5"/>
      <c r="BJ878" s="7"/>
    </row>
    <row r="879" s="1" customFormat="true" ht="14.25" hidden="false" customHeight="false" outlineLevel="0" collapsed="false">
      <c r="G879" s="2"/>
      <c r="M879" s="2"/>
      <c r="Z879" s="3"/>
      <c r="AL879" s="4"/>
      <c r="AM879" s="5"/>
      <c r="AN879" s="5"/>
      <c r="AO879" s="5"/>
      <c r="AP879" s="5"/>
      <c r="AQ879" s="5"/>
      <c r="AR879" s="5"/>
      <c r="AS879" s="6"/>
      <c r="AU879" s="6"/>
      <c r="AW879" s="6"/>
      <c r="AY879" s="5"/>
      <c r="AZ879" s="5"/>
      <c r="BA879" s="5"/>
      <c r="BC879" s="6"/>
      <c r="BE879" s="6"/>
      <c r="BG879" s="6"/>
      <c r="BH879" s="5"/>
      <c r="BI879" s="5"/>
      <c r="BJ879" s="7"/>
    </row>
    <row r="880" s="1" customFormat="true" ht="14.25" hidden="false" customHeight="false" outlineLevel="0" collapsed="false">
      <c r="G880" s="2"/>
      <c r="M880" s="2"/>
      <c r="Z880" s="3"/>
      <c r="AL880" s="4"/>
      <c r="AM880" s="5"/>
      <c r="AN880" s="5"/>
      <c r="AO880" s="5"/>
      <c r="AP880" s="5"/>
      <c r="AQ880" s="5"/>
      <c r="AR880" s="5"/>
      <c r="AS880" s="6"/>
      <c r="AU880" s="6"/>
      <c r="AW880" s="6"/>
      <c r="AY880" s="5"/>
      <c r="AZ880" s="5"/>
      <c r="BA880" s="5"/>
      <c r="BC880" s="6"/>
      <c r="BE880" s="6"/>
      <c r="BG880" s="6"/>
      <c r="BH880" s="5"/>
      <c r="BI880" s="5"/>
      <c r="BJ880" s="7"/>
    </row>
    <row r="881" s="1" customFormat="true" ht="14.25" hidden="false" customHeight="false" outlineLevel="0" collapsed="false">
      <c r="G881" s="2"/>
      <c r="M881" s="2"/>
      <c r="Z881" s="3"/>
      <c r="AL881" s="4"/>
      <c r="AM881" s="5"/>
      <c r="AN881" s="5"/>
      <c r="AO881" s="5"/>
      <c r="AP881" s="5"/>
      <c r="AQ881" s="5"/>
      <c r="AR881" s="5"/>
      <c r="AS881" s="6"/>
      <c r="AU881" s="6"/>
      <c r="AW881" s="6"/>
      <c r="AY881" s="5"/>
      <c r="AZ881" s="5"/>
      <c r="BA881" s="5"/>
      <c r="BC881" s="6"/>
      <c r="BE881" s="6"/>
      <c r="BG881" s="6"/>
      <c r="BH881" s="5"/>
      <c r="BI881" s="5"/>
      <c r="BJ881" s="7"/>
    </row>
    <row r="882" s="1" customFormat="true" ht="14.25" hidden="false" customHeight="false" outlineLevel="0" collapsed="false">
      <c r="G882" s="2"/>
      <c r="M882" s="2"/>
      <c r="Z882" s="3"/>
      <c r="AL882" s="4"/>
      <c r="AM882" s="5"/>
      <c r="AN882" s="5"/>
      <c r="AO882" s="5"/>
      <c r="AP882" s="5"/>
      <c r="AQ882" s="5"/>
      <c r="AR882" s="5"/>
      <c r="AS882" s="6"/>
      <c r="AU882" s="6"/>
      <c r="AW882" s="6"/>
      <c r="AY882" s="5"/>
      <c r="AZ882" s="5"/>
      <c r="BA882" s="5"/>
      <c r="BC882" s="6"/>
      <c r="BE882" s="6"/>
      <c r="BG882" s="6"/>
      <c r="BH882" s="5"/>
      <c r="BI882" s="5"/>
      <c r="BJ882" s="7"/>
    </row>
    <row r="883" s="1" customFormat="true" ht="14.25" hidden="false" customHeight="false" outlineLevel="0" collapsed="false">
      <c r="G883" s="2"/>
      <c r="M883" s="2"/>
      <c r="Z883" s="3"/>
      <c r="AL883" s="4"/>
      <c r="AM883" s="5"/>
      <c r="AN883" s="5"/>
      <c r="AO883" s="5"/>
      <c r="AP883" s="5"/>
      <c r="AQ883" s="5"/>
      <c r="AR883" s="5"/>
      <c r="AS883" s="6"/>
      <c r="AU883" s="6"/>
      <c r="AW883" s="6"/>
      <c r="AY883" s="5"/>
      <c r="AZ883" s="5"/>
      <c r="BA883" s="5"/>
      <c r="BC883" s="6"/>
      <c r="BE883" s="6"/>
      <c r="BG883" s="6"/>
      <c r="BH883" s="5"/>
      <c r="BI883" s="5"/>
      <c r="BJ883" s="7"/>
    </row>
    <row r="884" s="1" customFormat="true" ht="14.25" hidden="false" customHeight="false" outlineLevel="0" collapsed="false">
      <c r="G884" s="2"/>
      <c r="M884" s="2"/>
      <c r="Z884" s="3"/>
      <c r="AL884" s="4"/>
      <c r="AM884" s="5"/>
      <c r="AN884" s="5"/>
      <c r="AO884" s="5"/>
      <c r="AP884" s="5"/>
      <c r="AQ884" s="5"/>
      <c r="AR884" s="5"/>
      <c r="AS884" s="6"/>
      <c r="AU884" s="6"/>
      <c r="AW884" s="6"/>
      <c r="AY884" s="5"/>
      <c r="AZ884" s="5"/>
      <c r="BA884" s="5"/>
      <c r="BC884" s="6"/>
      <c r="BE884" s="6"/>
      <c r="BG884" s="6"/>
      <c r="BH884" s="5"/>
      <c r="BI884" s="5"/>
      <c r="BJ884" s="7"/>
    </row>
    <row r="885" s="1" customFormat="true" ht="14.25" hidden="false" customHeight="false" outlineLevel="0" collapsed="false">
      <c r="G885" s="2"/>
      <c r="M885" s="2"/>
      <c r="Z885" s="3"/>
      <c r="AL885" s="4"/>
      <c r="AM885" s="5"/>
      <c r="AN885" s="5"/>
      <c r="AO885" s="5"/>
      <c r="AP885" s="5"/>
      <c r="AQ885" s="5"/>
      <c r="AR885" s="5"/>
      <c r="AS885" s="6"/>
      <c r="AU885" s="6"/>
      <c r="AW885" s="6"/>
      <c r="AY885" s="5"/>
      <c r="AZ885" s="5"/>
      <c r="BA885" s="5"/>
      <c r="BC885" s="6"/>
      <c r="BE885" s="6"/>
      <c r="BG885" s="6"/>
      <c r="BH885" s="5"/>
      <c r="BI885" s="5"/>
      <c r="BJ885" s="7"/>
    </row>
    <row r="886" s="1" customFormat="true" ht="14.25" hidden="false" customHeight="false" outlineLevel="0" collapsed="false">
      <c r="G886" s="2"/>
      <c r="M886" s="2"/>
      <c r="Z886" s="3"/>
      <c r="AL886" s="4"/>
      <c r="AM886" s="5"/>
      <c r="AN886" s="5"/>
      <c r="AO886" s="5"/>
      <c r="AP886" s="5"/>
      <c r="AQ886" s="5"/>
      <c r="AR886" s="5"/>
      <c r="AS886" s="6"/>
      <c r="AU886" s="6"/>
      <c r="AW886" s="6"/>
      <c r="AY886" s="5"/>
      <c r="AZ886" s="5"/>
      <c r="BA886" s="5"/>
      <c r="BC886" s="6"/>
      <c r="BE886" s="6"/>
      <c r="BG886" s="6"/>
      <c r="BH886" s="5"/>
      <c r="BI886" s="5"/>
      <c r="BJ886" s="7"/>
    </row>
    <row r="887" s="1" customFormat="true" ht="14.25" hidden="false" customHeight="false" outlineLevel="0" collapsed="false">
      <c r="G887" s="2"/>
      <c r="M887" s="2"/>
      <c r="Z887" s="3"/>
      <c r="AL887" s="4"/>
      <c r="AM887" s="5"/>
      <c r="AN887" s="5"/>
      <c r="AO887" s="5"/>
      <c r="AP887" s="5"/>
      <c r="AQ887" s="5"/>
      <c r="AR887" s="5"/>
      <c r="AS887" s="6"/>
      <c r="AU887" s="6"/>
      <c r="AW887" s="6"/>
      <c r="AY887" s="5"/>
      <c r="AZ887" s="5"/>
      <c r="BA887" s="5"/>
      <c r="BC887" s="6"/>
      <c r="BE887" s="6"/>
      <c r="BG887" s="6"/>
      <c r="BH887" s="5"/>
      <c r="BI887" s="5"/>
      <c r="BJ887" s="7"/>
    </row>
    <row r="888" s="1" customFormat="true" ht="14.25" hidden="false" customHeight="false" outlineLevel="0" collapsed="false">
      <c r="G888" s="2"/>
      <c r="M888" s="2"/>
      <c r="Z888" s="3"/>
      <c r="AL888" s="4"/>
      <c r="AM888" s="5"/>
      <c r="AN888" s="5"/>
      <c r="AO888" s="5"/>
      <c r="AP888" s="5"/>
      <c r="AQ888" s="5"/>
      <c r="AR888" s="5"/>
      <c r="AS888" s="6"/>
      <c r="AU888" s="6"/>
      <c r="AW888" s="6"/>
      <c r="AY888" s="5"/>
      <c r="AZ888" s="5"/>
      <c r="BA888" s="5"/>
      <c r="BC888" s="6"/>
      <c r="BE888" s="6"/>
      <c r="BG888" s="6"/>
      <c r="BH888" s="5"/>
      <c r="BI888" s="5"/>
      <c r="BJ888" s="7"/>
    </row>
    <row r="889" s="1" customFormat="true" ht="14.25" hidden="false" customHeight="false" outlineLevel="0" collapsed="false">
      <c r="G889" s="2"/>
      <c r="M889" s="2"/>
      <c r="Z889" s="3"/>
      <c r="AL889" s="4"/>
      <c r="AM889" s="5"/>
      <c r="AN889" s="5"/>
      <c r="AO889" s="5"/>
      <c r="AP889" s="5"/>
      <c r="AQ889" s="5"/>
      <c r="AR889" s="5"/>
      <c r="AS889" s="6"/>
      <c r="AU889" s="6"/>
      <c r="AW889" s="6"/>
      <c r="AY889" s="5"/>
      <c r="AZ889" s="5"/>
      <c r="BA889" s="5"/>
      <c r="BC889" s="6"/>
      <c r="BE889" s="6"/>
      <c r="BG889" s="6"/>
      <c r="BH889" s="5"/>
      <c r="BI889" s="5"/>
      <c r="BJ889" s="7"/>
    </row>
    <row r="890" s="1" customFormat="true" ht="14.25" hidden="false" customHeight="false" outlineLevel="0" collapsed="false">
      <c r="G890" s="2"/>
      <c r="M890" s="2"/>
      <c r="Z890" s="3"/>
      <c r="AL890" s="4"/>
      <c r="AM890" s="5"/>
      <c r="AN890" s="5"/>
      <c r="AO890" s="5"/>
      <c r="AP890" s="5"/>
      <c r="AQ890" s="5"/>
      <c r="AR890" s="5"/>
      <c r="AS890" s="6"/>
      <c r="AU890" s="6"/>
      <c r="AW890" s="6"/>
      <c r="AY890" s="5"/>
      <c r="AZ890" s="5"/>
      <c r="BA890" s="5"/>
      <c r="BC890" s="6"/>
      <c r="BE890" s="6"/>
      <c r="BG890" s="6"/>
      <c r="BH890" s="5"/>
      <c r="BI890" s="5"/>
      <c r="BJ890" s="7"/>
    </row>
    <row r="891" s="1" customFormat="true" ht="14.25" hidden="false" customHeight="false" outlineLevel="0" collapsed="false">
      <c r="G891" s="2"/>
      <c r="M891" s="2"/>
      <c r="Z891" s="3"/>
      <c r="AL891" s="4"/>
      <c r="AM891" s="5"/>
      <c r="AN891" s="5"/>
      <c r="AO891" s="5"/>
      <c r="AP891" s="5"/>
      <c r="AQ891" s="5"/>
      <c r="AR891" s="5"/>
      <c r="AS891" s="6"/>
      <c r="AU891" s="6"/>
      <c r="AW891" s="6"/>
      <c r="AY891" s="5"/>
      <c r="AZ891" s="5"/>
      <c r="BA891" s="5"/>
      <c r="BC891" s="6"/>
      <c r="BE891" s="6"/>
      <c r="BG891" s="6"/>
      <c r="BH891" s="5"/>
      <c r="BI891" s="5"/>
      <c r="BJ891" s="7"/>
    </row>
    <row r="892" s="1" customFormat="true" ht="14.25" hidden="false" customHeight="false" outlineLevel="0" collapsed="false">
      <c r="G892" s="2"/>
      <c r="M892" s="2"/>
      <c r="Z892" s="3"/>
      <c r="AL892" s="4"/>
      <c r="AM892" s="5"/>
      <c r="AN892" s="5"/>
      <c r="AO892" s="5"/>
      <c r="AP892" s="5"/>
      <c r="AQ892" s="5"/>
      <c r="AR892" s="5"/>
      <c r="AS892" s="6"/>
      <c r="AU892" s="6"/>
      <c r="AW892" s="6"/>
      <c r="AY892" s="5"/>
      <c r="AZ892" s="5"/>
      <c r="BA892" s="5"/>
      <c r="BC892" s="6"/>
      <c r="BE892" s="6"/>
      <c r="BG892" s="6"/>
      <c r="BH892" s="5"/>
      <c r="BI892" s="5"/>
      <c r="BJ892" s="7"/>
    </row>
    <row r="893" s="1" customFormat="true" ht="14.25" hidden="false" customHeight="false" outlineLevel="0" collapsed="false">
      <c r="G893" s="2"/>
      <c r="M893" s="2"/>
      <c r="Z893" s="3"/>
      <c r="AL893" s="4"/>
      <c r="AM893" s="5"/>
      <c r="AN893" s="5"/>
      <c r="AO893" s="5"/>
      <c r="AP893" s="5"/>
      <c r="AQ893" s="5"/>
      <c r="AR893" s="5"/>
      <c r="AS893" s="6"/>
      <c r="AU893" s="6"/>
      <c r="AW893" s="6"/>
      <c r="AY893" s="5"/>
      <c r="AZ893" s="5"/>
      <c r="BA893" s="5"/>
      <c r="BC893" s="6"/>
      <c r="BE893" s="6"/>
      <c r="BG893" s="6"/>
      <c r="BH893" s="5"/>
      <c r="BI893" s="5"/>
      <c r="BJ893" s="7"/>
    </row>
    <row r="894" s="1" customFormat="true" ht="14.25" hidden="false" customHeight="false" outlineLevel="0" collapsed="false">
      <c r="G894" s="2"/>
      <c r="M894" s="2"/>
      <c r="Z894" s="3"/>
      <c r="AL894" s="4"/>
      <c r="AM894" s="5"/>
      <c r="AN894" s="5"/>
      <c r="AO894" s="5"/>
      <c r="AP894" s="5"/>
      <c r="AQ894" s="5"/>
      <c r="AR894" s="5"/>
      <c r="AS894" s="6"/>
      <c r="AU894" s="6"/>
      <c r="AW894" s="6"/>
      <c r="AY894" s="5"/>
      <c r="AZ894" s="5"/>
      <c r="BA894" s="5"/>
      <c r="BC894" s="6"/>
      <c r="BE894" s="6"/>
      <c r="BG894" s="6"/>
      <c r="BH894" s="5"/>
      <c r="BI894" s="5"/>
      <c r="BJ894" s="7"/>
    </row>
    <row r="895" s="1" customFormat="true" ht="14.25" hidden="false" customHeight="false" outlineLevel="0" collapsed="false">
      <c r="G895" s="2"/>
      <c r="M895" s="2"/>
      <c r="Z895" s="3"/>
      <c r="AL895" s="4"/>
      <c r="AM895" s="5"/>
      <c r="AN895" s="5"/>
      <c r="AO895" s="5"/>
      <c r="AP895" s="5"/>
      <c r="AQ895" s="5"/>
      <c r="AR895" s="5"/>
      <c r="AS895" s="6"/>
      <c r="AU895" s="6"/>
      <c r="AW895" s="6"/>
      <c r="AY895" s="5"/>
      <c r="AZ895" s="5"/>
      <c r="BA895" s="5"/>
      <c r="BC895" s="6"/>
      <c r="BE895" s="6"/>
      <c r="BG895" s="6"/>
      <c r="BH895" s="5"/>
      <c r="BI895" s="5"/>
      <c r="BJ895" s="7"/>
    </row>
    <row r="896" s="1" customFormat="true" ht="14.25" hidden="false" customHeight="false" outlineLevel="0" collapsed="false">
      <c r="G896" s="2"/>
      <c r="M896" s="2"/>
      <c r="Z896" s="3"/>
      <c r="AL896" s="4"/>
      <c r="AM896" s="5"/>
      <c r="AN896" s="5"/>
      <c r="AO896" s="5"/>
      <c r="AP896" s="5"/>
      <c r="AQ896" s="5"/>
      <c r="AR896" s="5"/>
      <c r="AS896" s="6"/>
      <c r="AU896" s="6"/>
      <c r="AW896" s="6"/>
      <c r="AY896" s="5"/>
      <c r="AZ896" s="5"/>
      <c r="BA896" s="5"/>
      <c r="BC896" s="6"/>
      <c r="BE896" s="6"/>
      <c r="BG896" s="6"/>
      <c r="BH896" s="5"/>
      <c r="BI896" s="5"/>
      <c r="BJ896" s="7"/>
    </row>
    <row r="897" s="1" customFormat="true" ht="14.25" hidden="false" customHeight="false" outlineLevel="0" collapsed="false">
      <c r="G897" s="2"/>
      <c r="M897" s="2"/>
      <c r="Z897" s="3"/>
      <c r="AL897" s="4"/>
      <c r="AM897" s="5"/>
      <c r="AN897" s="5"/>
      <c r="AO897" s="5"/>
      <c r="AP897" s="5"/>
      <c r="AQ897" s="5"/>
      <c r="AR897" s="5"/>
      <c r="AS897" s="6"/>
      <c r="AU897" s="6"/>
      <c r="AW897" s="6"/>
      <c r="AY897" s="5"/>
      <c r="AZ897" s="5"/>
      <c r="BA897" s="5"/>
      <c r="BC897" s="6"/>
      <c r="BE897" s="6"/>
      <c r="BG897" s="6"/>
      <c r="BH897" s="5"/>
      <c r="BI897" s="5"/>
      <c r="BJ897" s="7"/>
    </row>
    <row r="898" s="1" customFormat="true" ht="14.25" hidden="false" customHeight="false" outlineLevel="0" collapsed="false">
      <c r="G898" s="2"/>
      <c r="M898" s="2"/>
      <c r="Z898" s="3"/>
      <c r="AL898" s="4"/>
      <c r="AM898" s="5"/>
      <c r="AN898" s="5"/>
      <c r="AO898" s="5"/>
      <c r="AP898" s="5"/>
      <c r="AQ898" s="5"/>
      <c r="AR898" s="5"/>
      <c r="AS898" s="6"/>
      <c r="AU898" s="6"/>
      <c r="AW898" s="6"/>
      <c r="AY898" s="5"/>
      <c r="AZ898" s="5"/>
      <c r="BA898" s="5"/>
      <c r="BC898" s="6"/>
      <c r="BE898" s="6"/>
      <c r="BG898" s="6"/>
      <c r="BH898" s="5"/>
      <c r="BI898" s="5"/>
      <c r="BJ898" s="7"/>
    </row>
    <row r="899" s="1" customFormat="true" ht="14.25" hidden="false" customHeight="false" outlineLevel="0" collapsed="false">
      <c r="G899" s="2"/>
      <c r="M899" s="2"/>
      <c r="Z899" s="3"/>
      <c r="AL899" s="4"/>
      <c r="AM899" s="5"/>
      <c r="AN899" s="5"/>
      <c r="AO899" s="5"/>
      <c r="AP899" s="5"/>
      <c r="AQ899" s="5"/>
      <c r="AR899" s="5"/>
      <c r="AS899" s="6"/>
      <c r="AU899" s="6"/>
      <c r="AW899" s="6"/>
      <c r="AY899" s="5"/>
      <c r="AZ899" s="5"/>
      <c r="BA899" s="5"/>
      <c r="BC899" s="6"/>
      <c r="BE899" s="6"/>
      <c r="BG899" s="6"/>
      <c r="BH899" s="5"/>
      <c r="BI899" s="5"/>
      <c r="BJ899" s="7"/>
    </row>
    <row r="900" s="1" customFormat="true" ht="14.25" hidden="false" customHeight="false" outlineLevel="0" collapsed="false">
      <c r="G900" s="2"/>
      <c r="M900" s="2"/>
      <c r="Z900" s="3"/>
      <c r="AL900" s="4"/>
      <c r="AM900" s="5"/>
      <c r="AN900" s="5"/>
      <c r="AO900" s="5"/>
      <c r="AP900" s="5"/>
      <c r="AQ900" s="5"/>
      <c r="AR900" s="5"/>
      <c r="AS900" s="6"/>
      <c r="AU900" s="6"/>
      <c r="AW900" s="6"/>
      <c r="AY900" s="5"/>
      <c r="AZ900" s="5"/>
      <c r="BA900" s="5"/>
      <c r="BC900" s="6"/>
      <c r="BE900" s="6"/>
      <c r="BG900" s="6"/>
      <c r="BH900" s="5"/>
      <c r="BI900" s="5"/>
      <c r="BJ900" s="7"/>
    </row>
    <row r="901" s="1" customFormat="true" ht="14.25" hidden="false" customHeight="false" outlineLevel="0" collapsed="false">
      <c r="G901" s="2"/>
      <c r="M901" s="2"/>
      <c r="Z901" s="3"/>
      <c r="AL901" s="4"/>
      <c r="AM901" s="5"/>
      <c r="AN901" s="5"/>
      <c r="AO901" s="5"/>
      <c r="AP901" s="5"/>
      <c r="AQ901" s="5"/>
      <c r="AR901" s="5"/>
      <c r="AS901" s="6"/>
      <c r="AU901" s="6"/>
      <c r="AW901" s="6"/>
      <c r="AY901" s="5"/>
      <c r="AZ901" s="5"/>
      <c r="BA901" s="5"/>
      <c r="BC901" s="6"/>
      <c r="BE901" s="6"/>
      <c r="BG901" s="6"/>
      <c r="BH901" s="5"/>
      <c r="BI901" s="5"/>
      <c r="BJ901" s="7"/>
    </row>
    <row r="902" s="1" customFormat="true" ht="14.25" hidden="false" customHeight="false" outlineLevel="0" collapsed="false">
      <c r="G902" s="2"/>
      <c r="M902" s="2"/>
      <c r="Z902" s="3"/>
      <c r="AL902" s="4"/>
      <c r="AM902" s="5"/>
      <c r="AN902" s="5"/>
      <c r="AO902" s="5"/>
      <c r="AP902" s="5"/>
      <c r="AQ902" s="5"/>
      <c r="AR902" s="5"/>
      <c r="AS902" s="6"/>
      <c r="AU902" s="6"/>
      <c r="AW902" s="6"/>
      <c r="AY902" s="5"/>
      <c r="AZ902" s="5"/>
      <c r="BA902" s="5"/>
      <c r="BC902" s="6"/>
      <c r="BE902" s="6"/>
      <c r="BG902" s="6"/>
      <c r="BH902" s="5"/>
      <c r="BI902" s="5"/>
      <c r="BJ902" s="7"/>
    </row>
    <row r="903" s="1" customFormat="true" ht="14.25" hidden="false" customHeight="false" outlineLevel="0" collapsed="false">
      <c r="G903" s="2"/>
      <c r="M903" s="2"/>
      <c r="Z903" s="3"/>
      <c r="AL903" s="4"/>
      <c r="AM903" s="5"/>
      <c r="AN903" s="5"/>
      <c r="AO903" s="5"/>
      <c r="AP903" s="5"/>
      <c r="AQ903" s="5"/>
      <c r="AR903" s="5"/>
      <c r="AS903" s="6"/>
      <c r="AU903" s="6"/>
      <c r="AW903" s="6"/>
      <c r="AY903" s="5"/>
      <c r="AZ903" s="5"/>
      <c r="BA903" s="5"/>
      <c r="BC903" s="6"/>
      <c r="BE903" s="6"/>
      <c r="BG903" s="6"/>
      <c r="BH903" s="5"/>
      <c r="BI903" s="5"/>
      <c r="BJ903" s="7"/>
    </row>
    <row r="904" s="1" customFormat="true" ht="14.25" hidden="false" customHeight="false" outlineLevel="0" collapsed="false">
      <c r="G904" s="2"/>
      <c r="M904" s="2"/>
      <c r="Z904" s="3"/>
      <c r="AL904" s="4"/>
      <c r="AM904" s="5"/>
      <c r="AN904" s="5"/>
      <c r="AO904" s="5"/>
      <c r="AP904" s="5"/>
      <c r="AQ904" s="5"/>
      <c r="AR904" s="5"/>
      <c r="AS904" s="6"/>
      <c r="AU904" s="6"/>
      <c r="AW904" s="6"/>
      <c r="AY904" s="5"/>
      <c r="AZ904" s="5"/>
      <c r="BA904" s="5"/>
      <c r="BC904" s="6"/>
      <c r="BE904" s="6"/>
      <c r="BG904" s="6"/>
      <c r="BH904" s="5"/>
      <c r="BI904" s="5"/>
      <c r="BJ904" s="7"/>
    </row>
    <row r="905" s="1" customFormat="true" ht="14.25" hidden="false" customHeight="false" outlineLevel="0" collapsed="false">
      <c r="G905" s="2"/>
      <c r="M905" s="2"/>
      <c r="Z905" s="3"/>
      <c r="AL905" s="4"/>
      <c r="AM905" s="5"/>
      <c r="AN905" s="5"/>
      <c r="AO905" s="5"/>
      <c r="AP905" s="5"/>
      <c r="AQ905" s="5"/>
      <c r="AR905" s="5"/>
      <c r="AS905" s="6"/>
      <c r="AU905" s="6"/>
      <c r="AW905" s="6"/>
      <c r="AY905" s="5"/>
      <c r="AZ905" s="5"/>
      <c r="BA905" s="5"/>
      <c r="BC905" s="6"/>
      <c r="BE905" s="6"/>
      <c r="BG905" s="6"/>
      <c r="BH905" s="5"/>
      <c r="BI905" s="5"/>
      <c r="BJ905" s="7"/>
    </row>
    <row r="906" s="1" customFormat="true" ht="14.25" hidden="false" customHeight="false" outlineLevel="0" collapsed="false">
      <c r="G906" s="2"/>
      <c r="M906" s="2"/>
      <c r="Z906" s="3"/>
      <c r="AL906" s="4"/>
      <c r="AM906" s="5"/>
      <c r="AN906" s="5"/>
      <c r="AO906" s="5"/>
      <c r="AP906" s="5"/>
      <c r="AQ906" s="5"/>
      <c r="AR906" s="5"/>
      <c r="AS906" s="6"/>
      <c r="AU906" s="6"/>
      <c r="AW906" s="6"/>
      <c r="AY906" s="5"/>
      <c r="AZ906" s="5"/>
      <c r="BA906" s="5"/>
      <c r="BC906" s="6"/>
      <c r="BE906" s="6"/>
      <c r="BG906" s="6"/>
      <c r="BH906" s="5"/>
      <c r="BI906" s="5"/>
      <c r="BJ906" s="7"/>
    </row>
    <row r="907" s="1" customFormat="true" ht="14.25" hidden="false" customHeight="false" outlineLevel="0" collapsed="false">
      <c r="G907" s="2"/>
      <c r="M907" s="2"/>
      <c r="Z907" s="3"/>
      <c r="AL907" s="4"/>
      <c r="AM907" s="5"/>
      <c r="AN907" s="5"/>
      <c r="AO907" s="5"/>
      <c r="AP907" s="5"/>
      <c r="AQ907" s="5"/>
      <c r="AR907" s="5"/>
      <c r="AS907" s="6"/>
      <c r="AU907" s="6"/>
      <c r="AW907" s="6"/>
      <c r="AY907" s="5"/>
      <c r="AZ907" s="5"/>
      <c r="BA907" s="5"/>
      <c r="BC907" s="6"/>
      <c r="BE907" s="6"/>
      <c r="BG907" s="6"/>
      <c r="BH907" s="5"/>
      <c r="BI907" s="5"/>
      <c r="BJ907" s="7"/>
    </row>
    <row r="908" s="1" customFormat="true" ht="14.25" hidden="false" customHeight="false" outlineLevel="0" collapsed="false">
      <c r="G908" s="2"/>
      <c r="M908" s="2"/>
      <c r="Z908" s="3"/>
      <c r="AL908" s="4"/>
      <c r="AM908" s="5"/>
      <c r="AN908" s="5"/>
      <c r="AO908" s="5"/>
      <c r="AP908" s="5"/>
      <c r="AQ908" s="5"/>
      <c r="AR908" s="5"/>
      <c r="AS908" s="6"/>
      <c r="AU908" s="6"/>
      <c r="AW908" s="6"/>
      <c r="AY908" s="5"/>
      <c r="AZ908" s="5"/>
      <c r="BA908" s="5"/>
      <c r="BC908" s="6"/>
      <c r="BE908" s="6"/>
      <c r="BG908" s="6"/>
      <c r="BH908" s="5"/>
      <c r="BI908" s="5"/>
      <c r="BJ908" s="7"/>
    </row>
    <row r="909" s="1" customFormat="true" ht="14.25" hidden="false" customHeight="false" outlineLevel="0" collapsed="false">
      <c r="G909" s="2"/>
      <c r="M909" s="2"/>
      <c r="Z909" s="3"/>
      <c r="AL909" s="4"/>
      <c r="AM909" s="5"/>
      <c r="AN909" s="5"/>
      <c r="AO909" s="5"/>
      <c r="AP909" s="5"/>
      <c r="AQ909" s="5"/>
      <c r="AR909" s="5"/>
      <c r="AS909" s="6"/>
      <c r="AU909" s="6"/>
      <c r="AW909" s="6"/>
      <c r="AY909" s="5"/>
      <c r="AZ909" s="5"/>
      <c r="BA909" s="5"/>
      <c r="BC909" s="6"/>
      <c r="BE909" s="6"/>
      <c r="BG909" s="6"/>
      <c r="BH909" s="5"/>
      <c r="BI909" s="5"/>
      <c r="BJ909" s="7"/>
    </row>
    <row r="910" s="1" customFormat="true" ht="14.25" hidden="false" customHeight="false" outlineLevel="0" collapsed="false">
      <c r="G910" s="2"/>
      <c r="M910" s="2"/>
      <c r="Z910" s="3"/>
      <c r="AL910" s="4"/>
      <c r="AM910" s="5"/>
      <c r="AN910" s="5"/>
      <c r="AO910" s="5"/>
      <c r="AP910" s="5"/>
      <c r="AQ910" s="5"/>
      <c r="AR910" s="5"/>
      <c r="AS910" s="6"/>
      <c r="AU910" s="6"/>
      <c r="AW910" s="6"/>
      <c r="AY910" s="5"/>
      <c r="AZ910" s="5"/>
      <c r="BA910" s="5"/>
      <c r="BC910" s="6"/>
      <c r="BE910" s="6"/>
      <c r="BG910" s="6"/>
      <c r="BH910" s="5"/>
      <c r="BI910" s="5"/>
      <c r="BJ910" s="7"/>
    </row>
    <row r="911" s="1" customFormat="true" ht="14.25" hidden="false" customHeight="false" outlineLevel="0" collapsed="false">
      <c r="G911" s="2"/>
      <c r="M911" s="2"/>
      <c r="Z911" s="3"/>
      <c r="AL911" s="4"/>
      <c r="AM911" s="5"/>
      <c r="AN911" s="5"/>
      <c r="AO911" s="5"/>
      <c r="AP911" s="5"/>
      <c r="AQ911" s="5"/>
      <c r="AR911" s="5"/>
      <c r="AS911" s="6"/>
      <c r="AU911" s="6"/>
      <c r="AW911" s="6"/>
      <c r="AY911" s="5"/>
      <c r="AZ911" s="5"/>
      <c r="BA911" s="5"/>
      <c r="BC911" s="6"/>
      <c r="BE911" s="6"/>
      <c r="BG911" s="6"/>
      <c r="BH911" s="5"/>
      <c r="BI911" s="5"/>
      <c r="BJ911" s="7"/>
    </row>
    <row r="912" s="1" customFormat="true" ht="14.25" hidden="false" customHeight="false" outlineLevel="0" collapsed="false">
      <c r="G912" s="2"/>
      <c r="M912" s="2"/>
      <c r="Z912" s="3"/>
      <c r="AL912" s="4"/>
      <c r="AM912" s="5"/>
      <c r="AN912" s="5"/>
      <c r="AO912" s="5"/>
      <c r="AP912" s="5"/>
      <c r="AQ912" s="5"/>
      <c r="AR912" s="5"/>
      <c r="AS912" s="6"/>
      <c r="AU912" s="6"/>
      <c r="AW912" s="6"/>
      <c r="AY912" s="5"/>
      <c r="AZ912" s="5"/>
      <c r="BA912" s="5"/>
      <c r="BC912" s="6"/>
      <c r="BE912" s="6"/>
      <c r="BG912" s="6"/>
      <c r="BH912" s="5"/>
      <c r="BI912" s="5"/>
      <c r="BJ912" s="7"/>
    </row>
    <row r="913" s="1" customFormat="true" ht="14.25" hidden="false" customHeight="false" outlineLevel="0" collapsed="false">
      <c r="G913" s="2"/>
      <c r="M913" s="2"/>
      <c r="Z913" s="3"/>
      <c r="AL913" s="4"/>
      <c r="AM913" s="5"/>
      <c r="AN913" s="5"/>
      <c r="AO913" s="5"/>
      <c r="AP913" s="5"/>
      <c r="AQ913" s="5"/>
      <c r="AR913" s="5"/>
      <c r="AS913" s="6"/>
      <c r="AU913" s="6"/>
      <c r="AW913" s="6"/>
      <c r="AY913" s="5"/>
      <c r="AZ913" s="5"/>
      <c r="BA913" s="5"/>
      <c r="BC913" s="6"/>
      <c r="BE913" s="6"/>
      <c r="BG913" s="6"/>
      <c r="BH913" s="5"/>
      <c r="BI913" s="5"/>
      <c r="BJ913" s="7"/>
    </row>
    <row r="914" s="1" customFormat="true" ht="14.25" hidden="false" customHeight="false" outlineLevel="0" collapsed="false">
      <c r="G914" s="2"/>
      <c r="M914" s="2"/>
      <c r="Z914" s="3"/>
      <c r="AL914" s="4"/>
      <c r="AM914" s="5"/>
      <c r="AN914" s="5"/>
      <c r="AO914" s="5"/>
      <c r="AP914" s="5"/>
      <c r="AQ914" s="5"/>
      <c r="AR914" s="5"/>
      <c r="AS914" s="6"/>
      <c r="AU914" s="6"/>
      <c r="AW914" s="6"/>
      <c r="AY914" s="5"/>
      <c r="AZ914" s="5"/>
      <c r="BA914" s="5"/>
      <c r="BC914" s="6"/>
      <c r="BE914" s="6"/>
      <c r="BG914" s="6"/>
      <c r="BH914" s="5"/>
      <c r="BI914" s="5"/>
      <c r="BJ914" s="7"/>
    </row>
    <row r="915" s="1" customFormat="true" ht="14.25" hidden="false" customHeight="false" outlineLevel="0" collapsed="false">
      <c r="G915" s="2"/>
      <c r="M915" s="2"/>
      <c r="Z915" s="3"/>
      <c r="AL915" s="4"/>
      <c r="AM915" s="5"/>
      <c r="AN915" s="5"/>
      <c r="AO915" s="5"/>
      <c r="AP915" s="5"/>
      <c r="AQ915" s="5"/>
      <c r="AR915" s="5"/>
      <c r="AS915" s="6"/>
      <c r="AU915" s="6"/>
      <c r="AW915" s="6"/>
      <c r="AY915" s="5"/>
      <c r="AZ915" s="5"/>
      <c r="BA915" s="5"/>
      <c r="BC915" s="6"/>
      <c r="BE915" s="6"/>
      <c r="BG915" s="6"/>
      <c r="BH915" s="5"/>
      <c r="BI915" s="5"/>
      <c r="BJ915" s="7"/>
    </row>
    <row r="916" s="1" customFormat="true" ht="14.25" hidden="false" customHeight="false" outlineLevel="0" collapsed="false">
      <c r="G916" s="2"/>
      <c r="M916" s="2"/>
      <c r="Z916" s="3"/>
      <c r="AL916" s="4"/>
      <c r="AM916" s="5"/>
      <c r="AN916" s="5"/>
      <c r="AO916" s="5"/>
      <c r="AP916" s="5"/>
      <c r="AQ916" s="5"/>
      <c r="AR916" s="5"/>
      <c r="AS916" s="6"/>
      <c r="AU916" s="6"/>
      <c r="AW916" s="6"/>
      <c r="AY916" s="5"/>
      <c r="AZ916" s="5"/>
      <c r="BA916" s="5"/>
      <c r="BC916" s="6"/>
      <c r="BE916" s="6"/>
      <c r="BG916" s="6"/>
      <c r="BH916" s="5"/>
      <c r="BI916" s="5"/>
      <c r="BJ916" s="7"/>
    </row>
    <row r="917" s="1" customFormat="true" ht="14.25" hidden="false" customHeight="false" outlineLevel="0" collapsed="false">
      <c r="G917" s="2"/>
      <c r="M917" s="2"/>
      <c r="Z917" s="3"/>
      <c r="AL917" s="4"/>
      <c r="AM917" s="5"/>
      <c r="AN917" s="5"/>
      <c r="AO917" s="5"/>
      <c r="AP917" s="5"/>
      <c r="AQ917" s="5"/>
      <c r="AR917" s="5"/>
      <c r="AS917" s="6"/>
      <c r="AU917" s="6"/>
      <c r="AW917" s="6"/>
      <c r="AY917" s="5"/>
      <c r="AZ917" s="5"/>
      <c r="BA917" s="5"/>
      <c r="BC917" s="6"/>
      <c r="BE917" s="6"/>
      <c r="BG917" s="6"/>
      <c r="BH917" s="5"/>
      <c r="BI917" s="5"/>
      <c r="BJ917" s="7"/>
    </row>
    <row r="918" s="1" customFormat="true" ht="14.25" hidden="false" customHeight="false" outlineLevel="0" collapsed="false">
      <c r="G918" s="2"/>
      <c r="M918" s="2"/>
      <c r="Z918" s="3"/>
      <c r="AL918" s="4"/>
      <c r="AM918" s="5"/>
      <c r="AN918" s="5"/>
      <c r="AO918" s="5"/>
      <c r="AP918" s="5"/>
      <c r="AQ918" s="5"/>
      <c r="AR918" s="5"/>
      <c r="AS918" s="6"/>
      <c r="AU918" s="6"/>
      <c r="AW918" s="6"/>
      <c r="AY918" s="5"/>
      <c r="AZ918" s="5"/>
      <c r="BA918" s="5"/>
      <c r="BC918" s="6"/>
      <c r="BE918" s="6"/>
      <c r="BG918" s="6"/>
      <c r="BH918" s="5"/>
      <c r="BI918" s="5"/>
      <c r="BJ918" s="7"/>
    </row>
    <row r="919" s="1" customFormat="true" ht="14.25" hidden="false" customHeight="false" outlineLevel="0" collapsed="false">
      <c r="G919" s="2"/>
      <c r="M919" s="2"/>
      <c r="Z919" s="3"/>
      <c r="AL919" s="4"/>
      <c r="AM919" s="5"/>
      <c r="AN919" s="5"/>
      <c r="AO919" s="5"/>
      <c r="AP919" s="5"/>
      <c r="AQ919" s="5"/>
      <c r="AR919" s="5"/>
      <c r="AS919" s="6"/>
      <c r="AU919" s="6"/>
      <c r="AW919" s="6"/>
      <c r="AY919" s="5"/>
      <c r="AZ919" s="5"/>
      <c r="BA919" s="5"/>
      <c r="BC919" s="6"/>
      <c r="BE919" s="6"/>
      <c r="BG919" s="6"/>
      <c r="BH919" s="5"/>
      <c r="BI919" s="5"/>
      <c r="BJ919" s="7"/>
    </row>
    <row r="920" s="1" customFormat="true" ht="14.25" hidden="false" customHeight="false" outlineLevel="0" collapsed="false">
      <c r="G920" s="2"/>
      <c r="M920" s="2"/>
      <c r="Z920" s="3"/>
      <c r="AL920" s="4"/>
      <c r="AM920" s="5"/>
      <c r="AN920" s="5"/>
      <c r="AO920" s="5"/>
      <c r="AP920" s="5"/>
      <c r="AQ920" s="5"/>
      <c r="AR920" s="5"/>
      <c r="AS920" s="6"/>
      <c r="AU920" s="6"/>
      <c r="AW920" s="6"/>
      <c r="AY920" s="5"/>
      <c r="AZ920" s="5"/>
      <c r="BA920" s="5"/>
      <c r="BC920" s="6"/>
      <c r="BE920" s="6"/>
      <c r="BG920" s="6"/>
      <c r="BH920" s="5"/>
      <c r="BI920" s="5"/>
      <c r="BJ920" s="7"/>
    </row>
    <row r="921" s="1" customFormat="true" ht="14.25" hidden="false" customHeight="false" outlineLevel="0" collapsed="false">
      <c r="G921" s="2"/>
      <c r="M921" s="2"/>
      <c r="Z921" s="3"/>
      <c r="AL921" s="4"/>
      <c r="AM921" s="5"/>
      <c r="AN921" s="5"/>
      <c r="AO921" s="5"/>
      <c r="AP921" s="5"/>
      <c r="AQ921" s="5"/>
      <c r="AR921" s="5"/>
      <c r="AS921" s="6"/>
      <c r="AU921" s="6"/>
      <c r="AW921" s="6"/>
      <c r="AY921" s="5"/>
      <c r="AZ921" s="5"/>
      <c r="BA921" s="5"/>
      <c r="BC921" s="6"/>
      <c r="BE921" s="6"/>
      <c r="BG921" s="6"/>
      <c r="BH921" s="5"/>
      <c r="BI921" s="5"/>
      <c r="BJ921" s="7"/>
    </row>
    <row r="922" s="1" customFormat="true" ht="14.25" hidden="false" customHeight="false" outlineLevel="0" collapsed="false">
      <c r="G922" s="2"/>
      <c r="M922" s="2"/>
      <c r="Z922" s="3"/>
      <c r="AL922" s="4"/>
      <c r="AM922" s="5"/>
      <c r="AN922" s="5"/>
      <c r="AO922" s="5"/>
      <c r="AP922" s="5"/>
      <c r="AQ922" s="5"/>
      <c r="AR922" s="5"/>
      <c r="AS922" s="6"/>
      <c r="AU922" s="6"/>
      <c r="AW922" s="6"/>
      <c r="AY922" s="5"/>
      <c r="AZ922" s="5"/>
      <c r="BA922" s="5"/>
      <c r="BC922" s="6"/>
      <c r="BE922" s="6"/>
      <c r="BG922" s="6"/>
      <c r="BH922" s="5"/>
      <c r="BI922" s="5"/>
      <c r="BJ922" s="7"/>
    </row>
    <row r="923" s="1" customFormat="true" ht="14.25" hidden="false" customHeight="false" outlineLevel="0" collapsed="false">
      <c r="G923" s="2"/>
      <c r="M923" s="2"/>
      <c r="Z923" s="3"/>
      <c r="AL923" s="4"/>
      <c r="AM923" s="5"/>
      <c r="AN923" s="5"/>
      <c r="AO923" s="5"/>
      <c r="AP923" s="5"/>
      <c r="AQ923" s="5"/>
      <c r="AR923" s="5"/>
      <c r="AS923" s="6"/>
      <c r="AU923" s="6"/>
      <c r="AW923" s="6"/>
      <c r="AY923" s="5"/>
      <c r="AZ923" s="5"/>
      <c r="BA923" s="5"/>
      <c r="BC923" s="6"/>
      <c r="BE923" s="6"/>
      <c r="BG923" s="6"/>
      <c r="BH923" s="5"/>
      <c r="BI923" s="5"/>
      <c r="BJ923" s="7"/>
    </row>
    <row r="924" s="1" customFormat="true" ht="14.25" hidden="false" customHeight="false" outlineLevel="0" collapsed="false">
      <c r="G924" s="2"/>
      <c r="M924" s="2"/>
      <c r="Z924" s="3"/>
      <c r="AL924" s="4"/>
      <c r="AM924" s="5"/>
      <c r="AN924" s="5"/>
      <c r="AO924" s="5"/>
      <c r="AP924" s="5"/>
      <c r="AQ924" s="5"/>
      <c r="AR924" s="5"/>
      <c r="AS924" s="6"/>
      <c r="AU924" s="6"/>
      <c r="AW924" s="6"/>
      <c r="AY924" s="5"/>
      <c r="AZ924" s="5"/>
      <c r="BA924" s="5"/>
      <c r="BC924" s="6"/>
      <c r="BE924" s="6"/>
      <c r="BG924" s="6"/>
      <c r="BH924" s="5"/>
      <c r="BI924" s="5"/>
      <c r="BJ924" s="7"/>
    </row>
    <row r="925" s="1" customFormat="true" ht="14.25" hidden="false" customHeight="false" outlineLevel="0" collapsed="false">
      <c r="G925" s="2"/>
      <c r="M925" s="2"/>
      <c r="Z925" s="3"/>
      <c r="AL925" s="4"/>
      <c r="AM925" s="5"/>
      <c r="AN925" s="5"/>
      <c r="AO925" s="5"/>
      <c r="AP925" s="5"/>
      <c r="AQ925" s="5"/>
      <c r="AR925" s="5"/>
      <c r="AS925" s="6"/>
      <c r="AU925" s="6"/>
      <c r="AW925" s="6"/>
      <c r="AY925" s="5"/>
      <c r="AZ925" s="5"/>
      <c r="BA925" s="5"/>
      <c r="BC925" s="6"/>
      <c r="BE925" s="6"/>
      <c r="BG925" s="6"/>
      <c r="BH925" s="5"/>
      <c r="BI925" s="5"/>
      <c r="BJ925" s="7"/>
    </row>
    <row r="926" s="1" customFormat="true" ht="14.25" hidden="false" customHeight="false" outlineLevel="0" collapsed="false">
      <c r="G926" s="2"/>
      <c r="M926" s="2"/>
      <c r="Z926" s="3"/>
      <c r="AL926" s="4"/>
      <c r="AM926" s="5"/>
      <c r="AN926" s="5"/>
      <c r="AO926" s="5"/>
      <c r="AP926" s="5"/>
      <c r="AQ926" s="5"/>
      <c r="AR926" s="5"/>
      <c r="AS926" s="6"/>
      <c r="AU926" s="6"/>
      <c r="AW926" s="6"/>
      <c r="AY926" s="5"/>
      <c r="AZ926" s="5"/>
      <c r="BA926" s="5"/>
      <c r="BC926" s="6"/>
      <c r="BE926" s="6"/>
      <c r="BG926" s="6"/>
      <c r="BH926" s="5"/>
      <c r="BI926" s="5"/>
      <c r="BJ926" s="7"/>
    </row>
    <row r="927" s="1" customFormat="true" ht="14.25" hidden="false" customHeight="false" outlineLevel="0" collapsed="false">
      <c r="G927" s="2"/>
      <c r="M927" s="2"/>
      <c r="Z927" s="3"/>
      <c r="AL927" s="4"/>
      <c r="AM927" s="5"/>
      <c r="AN927" s="5"/>
      <c r="AO927" s="5"/>
      <c r="AP927" s="5"/>
      <c r="AQ927" s="5"/>
      <c r="AR927" s="5"/>
      <c r="AS927" s="6"/>
      <c r="AU927" s="6"/>
      <c r="AW927" s="6"/>
      <c r="AY927" s="5"/>
      <c r="AZ927" s="5"/>
      <c r="BA927" s="5"/>
      <c r="BC927" s="6"/>
      <c r="BE927" s="6"/>
      <c r="BG927" s="6"/>
      <c r="BH927" s="5"/>
      <c r="BI927" s="5"/>
      <c r="BJ927" s="7"/>
    </row>
    <row r="928" s="1" customFormat="true" ht="14.25" hidden="false" customHeight="false" outlineLevel="0" collapsed="false">
      <c r="G928" s="2"/>
      <c r="M928" s="2"/>
      <c r="Z928" s="3"/>
      <c r="AL928" s="4"/>
      <c r="AM928" s="5"/>
      <c r="AN928" s="5"/>
      <c r="AO928" s="5"/>
      <c r="AP928" s="5"/>
      <c r="AQ928" s="5"/>
      <c r="AR928" s="5"/>
      <c r="AS928" s="6"/>
      <c r="AU928" s="6"/>
      <c r="AW928" s="6"/>
      <c r="AY928" s="5"/>
      <c r="AZ928" s="5"/>
      <c r="BA928" s="5"/>
      <c r="BC928" s="6"/>
      <c r="BE928" s="6"/>
      <c r="BG928" s="6"/>
      <c r="BH928" s="5"/>
      <c r="BI928" s="5"/>
      <c r="BJ928" s="7"/>
    </row>
    <row r="929" s="1" customFormat="true" ht="14.25" hidden="false" customHeight="false" outlineLevel="0" collapsed="false">
      <c r="G929" s="2"/>
      <c r="M929" s="2"/>
      <c r="Z929" s="3"/>
      <c r="AL929" s="4"/>
      <c r="AM929" s="5"/>
      <c r="AN929" s="5"/>
      <c r="AO929" s="5"/>
      <c r="AP929" s="5"/>
      <c r="AQ929" s="5"/>
      <c r="AR929" s="5"/>
      <c r="AS929" s="6"/>
      <c r="AU929" s="6"/>
      <c r="AW929" s="6"/>
      <c r="AY929" s="5"/>
      <c r="AZ929" s="5"/>
      <c r="BA929" s="5"/>
      <c r="BC929" s="6"/>
      <c r="BE929" s="6"/>
      <c r="BG929" s="6"/>
      <c r="BH929" s="5"/>
      <c r="BI929" s="5"/>
      <c r="BJ929" s="7"/>
    </row>
    <row r="930" s="1" customFormat="true" ht="14.25" hidden="false" customHeight="false" outlineLevel="0" collapsed="false">
      <c r="G930" s="2"/>
      <c r="M930" s="2"/>
      <c r="Z930" s="3"/>
      <c r="AL930" s="4"/>
      <c r="AM930" s="5"/>
      <c r="AN930" s="5"/>
      <c r="AO930" s="5"/>
      <c r="AP930" s="5"/>
      <c r="AQ930" s="5"/>
      <c r="AR930" s="5"/>
      <c r="AS930" s="6"/>
      <c r="AU930" s="6"/>
      <c r="AW930" s="6"/>
      <c r="AY930" s="5"/>
      <c r="AZ930" s="5"/>
      <c r="BA930" s="5"/>
      <c r="BC930" s="6"/>
      <c r="BE930" s="6"/>
      <c r="BG930" s="6"/>
      <c r="BH930" s="5"/>
      <c r="BI930" s="5"/>
      <c r="BJ930" s="7"/>
    </row>
    <row r="931" s="1" customFormat="true" ht="14.25" hidden="false" customHeight="false" outlineLevel="0" collapsed="false">
      <c r="G931" s="2"/>
      <c r="M931" s="2"/>
      <c r="Z931" s="3"/>
      <c r="AL931" s="4"/>
      <c r="AM931" s="5"/>
      <c r="AN931" s="5"/>
      <c r="AO931" s="5"/>
      <c r="AP931" s="5"/>
      <c r="AQ931" s="5"/>
      <c r="AR931" s="5"/>
      <c r="AS931" s="6"/>
      <c r="AU931" s="6"/>
      <c r="AW931" s="6"/>
      <c r="AY931" s="5"/>
      <c r="AZ931" s="5"/>
      <c r="BA931" s="5"/>
      <c r="BC931" s="6"/>
      <c r="BE931" s="6"/>
      <c r="BG931" s="6"/>
      <c r="BH931" s="5"/>
      <c r="BI931" s="5"/>
      <c r="BJ931" s="7"/>
    </row>
    <row r="932" s="1" customFormat="true" ht="14.25" hidden="false" customHeight="false" outlineLevel="0" collapsed="false">
      <c r="G932" s="2"/>
      <c r="M932" s="2"/>
      <c r="Z932" s="3"/>
      <c r="AL932" s="4"/>
      <c r="AM932" s="5"/>
      <c r="AN932" s="5"/>
      <c r="AO932" s="5"/>
      <c r="AP932" s="5"/>
      <c r="AQ932" s="5"/>
      <c r="AR932" s="5"/>
      <c r="AS932" s="6"/>
      <c r="AU932" s="6"/>
      <c r="AW932" s="6"/>
      <c r="AY932" s="5"/>
      <c r="AZ932" s="5"/>
      <c r="BA932" s="5"/>
      <c r="BC932" s="6"/>
      <c r="BE932" s="6"/>
      <c r="BG932" s="6"/>
      <c r="BH932" s="5"/>
      <c r="BI932" s="5"/>
      <c r="BJ932" s="7"/>
    </row>
    <row r="933" s="1" customFormat="true" ht="14.25" hidden="false" customHeight="false" outlineLevel="0" collapsed="false">
      <c r="G933" s="2"/>
      <c r="M933" s="2"/>
      <c r="Z933" s="3"/>
      <c r="AL933" s="4"/>
      <c r="AM933" s="5"/>
      <c r="AN933" s="5"/>
      <c r="AO933" s="5"/>
      <c r="AP933" s="5"/>
      <c r="AQ933" s="5"/>
      <c r="AR933" s="5"/>
      <c r="AS933" s="6"/>
      <c r="AU933" s="6"/>
      <c r="AW933" s="6"/>
      <c r="AY933" s="5"/>
      <c r="AZ933" s="5"/>
      <c r="BA933" s="5"/>
      <c r="BC933" s="6"/>
      <c r="BE933" s="6"/>
      <c r="BG933" s="6"/>
      <c r="BH933" s="5"/>
      <c r="BI933" s="5"/>
      <c r="BJ933" s="7"/>
    </row>
    <row r="934" s="1" customFormat="true" ht="14.25" hidden="false" customHeight="false" outlineLevel="0" collapsed="false">
      <c r="G934" s="2"/>
      <c r="M934" s="2"/>
      <c r="Z934" s="3"/>
      <c r="AL934" s="4"/>
      <c r="AM934" s="5"/>
      <c r="AN934" s="5"/>
      <c r="AO934" s="5"/>
      <c r="AP934" s="5"/>
      <c r="AQ934" s="5"/>
      <c r="AR934" s="5"/>
      <c r="AS934" s="6"/>
      <c r="AU934" s="6"/>
      <c r="AW934" s="6"/>
      <c r="AY934" s="5"/>
      <c r="AZ934" s="5"/>
      <c r="BA934" s="5"/>
      <c r="BC934" s="6"/>
      <c r="BE934" s="6"/>
      <c r="BG934" s="6"/>
      <c r="BH934" s="5"/>
      <c r="BI934" s="5"/>
      <c r="BJ934" s="7"/>
    </row>
    <row r="935" s="1" customFormat="true" ht="14.25" hidden="false" customHeight="false" outlineLevel="0" collapsed="false">
      <c r="G935" s="2"/>
      <c r="M935" s="2"/>
      <c r="Z935" s="3"/>
      <c r="AL935" s="4"/>
      <c r="AM935" s="5"/>
      <c r="AN935" s="5"/>
      <c r="AO935" s="5"/>
      <c r="AP935" s="5"/>
      <c r="AQ935" s="5"/>
      <c r="AR935" s="5"/>
      <c r="AS935" s="6"/>
      <c r="AU935" s="6"/>
      <c r="AW935" s="6"/>
      <c r="AY935" s="5"/>
      <c r="AZ935" s="5"/>
      <c r="BA935" s="5"/>
      <c r="BC935" s="6"/>
      <c r="BE935" s="6"/>
      <c r="BG935" s="6"/>
      <c r="BH935" s="5"/>
      <c r="BI935" s="5"/>
      <c r="BJ935" s="7"/>
    </row>
    <row r="936" s="1" customFormat="true" ht="14.25" hidden="false" customHeight="false" outlineLevel="0" collapsed="false">
      <c r="G936" s="2"/>
      <c r="M936" s="2"/>
      <c r="Z936" s="3"/>
      <c r="AL936" s="4"/>
      <c r="AM936" s="5"/>
      <c r="AN936" s="5"/>
      <c r="AO936" s="5"/>
      <c r="AP936" s="5"/>
      <c r="AQ936" s="5"/>
      <c r="AR936" s="5"/>
      <c r="AS936" s="6"/>
      <c r="AU936" s="6"/>
      <c r="AW936" s="6"/>
      <c r="AY936" s="5"/>
      <c r="AZ936" s="5"/>
      <c r="BA936" s="5"/>
      <c r="BC936" s="6"/>
      <c r="BE936" s="6"/>
      <c r="BG936" s="6"/>
      <c r="BH936" s="5"/>
      <c r="BI936" s="5"/>
      <c r="BJ936" s="7"/>
    </row>
    <row r="937" s="1" customFormat="true" ht="14.25" hidden="false" customHeight="false" outlineLevel="0" collapsed="false">
      <c r="G937" s="2"/>
      <c r="M937" s="2"/>
      <c r="Z937" s="3"/>
      <c r="AL937" s="4"/>
      <c r="AM937" s="5"/>
      <c r="AN937" s="5"/>
      <c r="AO937" s="5"/>
      <c r="AP937" s="5"/>
      <c r="AQ937" s="5"/>
      <c r="AR937" s="5"/>
      <c r="AS937" s="6"/>
      <c r="AU937" s="6"/>
      <c r="AW937" s="6"/>
      <c r="AY937" s="5"/>
      <c r="AZ937" s="5"/>
      <c r="BA937" s="5"/>
      <c r="BC937" s="6"/>
      <c r="BE937" s="6"/>
      <c r="BG937" s="6"/>
      <c r="BH937" s="5"/>
      <c r="BI937" s="5"/>
      <c r="BJ937" s="7"/>
    </row>
    <row r="938" s="1" customFormat="true" ht="14.25" hidden="false" customHeight="false" outlineLevel="0" collapsed="false">
      <c r="G938" s="2"/>
      <c r="M938" s="2"/>
      <c r="Z938" s="3"/>
      <c r="AL938" s="4"/>
      <c r="AM938" s="5"/>
      <c r="AN938" s="5"/>
      <c r="AO938" s="5"/>
      <c r="AP938" s="5"/>
      <c r="AQ938" s="5"/>
      <c r="AR938" s="5"/>
      <c r="AS938" s="6"/>
      <c r="AU938" s="6"/>
      <c r="AW938" s="6"/>
      <c r="AY938" s="5"/>
      <c r="AZ938" s="5"/>
      <c r="BA938" s="5"/>
      <c r="BC938" s="6"/>
      <c r="BE938" s="6"/>
      <c r="BG938" s="6"/>
      <c r="BH938" s="5"/>
      <c r="BI938" s="5"/>
      <c r="BJ938" s="7"/>
    </row>
    <row r="939" s="1" customFormat="true" ht="14.25" hidden="false" customHeight="false" outlineLevel="0" collapsed="false">
      <c r="G939" s="2"/>
      <c r="M939" s="2"/>
      <c r="Z939" s="3"/>
      <c r="AL939" s="4"/>
      <c r="AM939" s="5"/>
      <c r="AN939" s="5"/>
      <c r="AO939" s="5"/>
      <c r="AP939" s="5"/>
      <c r="AQ939" s="5"/>
      <c r="AR939" s="5"/>
      <c r="AS939" s="6"/>
      <c r="AU939" s="6"/>
      <c r="AW939" s="6"/>
      <c r="AY939" s="5"/>
      <c r="AZ939" s="5"/>
      <c r="BA939" s="5"/>
      <c r="BC939" s="6"/>
      <c r="BE939" s="6"/>
      <c r="BG939" s="6"/>
      <c r="BH939" s="5"/>
      <c r="BI939" s="5"/>
      <c r="BJ939" s="7"/>
    </row>
    <row r="940" s="1" customFormat="true" ht="14.25" hidden="false" customHeight="false" outlineLevel="0" collapsed="false">
      <c r="G940" s="2"/>
      <c r="M940" s="2"/>
      <c r="Z940" s="3"/>
      <c r="AL940" s="4"/>
      <c r="AM940" s="5"/>
      <c r="AN940" s="5"/>
      <c r="AO940" s="5"/>
      <c r="AP940" s="5"/>
      <c r="AQ940" s="5"/>
      <c r="AR940" s="5"/>
      <c r="AS940" s="6"/>
      <c r="AU940" s="6"/>
      <c r="AW940" s="6"/>
      <c r="AY940" s="5"/>
      <c r="AZ940" s="5"/>
      <c r="BA940" s="5"/>
      <c r="BC940" s="6"/>
      <c r="BE940" s="6"/>
      <c r="BG940" s="6"/>
      <c r="BH940" s="5"/>
      <c r="BI940" s="5"/>
      <c r="BJ940" s="7"/>
    </row>
    <row r="941" s="1" customFormat="true" ht="14.25" hidden="false" customHeight="false" outlineLevel="0" collapsed="false">
      <c r="G941" s="2"/>
      <c r="M941" s="2"/>
      <c r="Z941" s="3"/>
      <c r="AL941" s="4"/>
      <c r="AM941" s="5"/>
      <c r="AN941" s="5"/>
      <c r="AO941" s="5"/>
      <c r="AP941" s="5"/>
      <c r="AQ941" s="5"/>
      <c r="AR941" s="5"/>
      <c r="AS941" s="6"/>
      <c r="AU941" s="6"/>
      <c r="AW941" s="6"/>
      <c r="AY941" s="5"/>
      <c r="AZ941" s="5"/>
      <c r="BA941" s="5"/>
      <c r="BC941" s="6"/>
      <c r="BE941" s="6"/>
      <c r="BG941" s="6"/>
      <c r="BH941" s="5"/>
      <c r="BI941" s="5"/>
      <c r="BJ941" s="7"/>
    </row>
    <row r="942" s="1" customFormat="true" ht="14.25" hidden="false" customHeight="false" outlineLevel="0" collapsed="false">
      <c r="G942" s="2"/>
      <c r="M942" s="2"/>
      <c r="Z942" s="3"/>
      <c r="AL942" s="4"/>
      <c r="AM942" s="5"/>
      <c r="AN942" s="5"/>
      <c r="AO942" s="5"/>
      <c r="AP942" s="5"/>
      <c r="AQ942" s="5"/>
      <c r="AR942" s="5"/>
      <c r="AS942" s="6"/>
      <c r="AU942" s="6"/>
      <c r="AW942" s="6"/>
      <c r="AY942" s="5"/>
      <c r="AZ942" s="5"/>
      <c r="BA942" s="5"/>
      <c r="BC942" s="6"/>
      <c r="BE942" s="6"/>
      <c r="BG942" s="6"/>
      <c r="BH942" s="5"/>
      <c r="BI942" s="5"/>
      <c r="BJ942" s="7"/>
    </row>
    <row r="943" s="1" customFormat="true" ht="14.25" hidden="false" customHeight="false" outlineLevel="0" collapsed="false">
      <c r="G943" s="2"/>
      <c r="M943" s="2"/>
      <c r="Z943" s="3"/>
      <c r="AL943" s="4"/>
      <c r="AM943" s="5"/>
      <c r="AN943" s="5"/>
      <c r="AO943" s="5"/>
      <c r="AP943" s="5"/>
      <c r="AQ943" s="5"/>
      <c r="AR943" s="5"/>
      <c r="AS943" s="6"/>
      <c r="AU943" s="6"/>
      <c r="AW943" s="6"/>
      <c r="AY943" s="5"/>
      <c r="AZ943" s="5"/>
      <c r="BA943" s="5"/>
      <c r="BC943" s="6"/>
      <c r="BE943" s="6"/>
      <c r="BG943" s="6"/>
      <c r="BH943" s="5"/>
      <c r="BI943" s="5"/>
      <c r="BJ943" s="7"/>
    </row>
    <row r="944" s="1" customFormat="true" ht="14.25" hidden="false" customHeight="false" outlineLevel="0" collapsed="false">
      <c r="G944" s="2"/>
      <c r="M944" s="2"/>
      <c r="Z944" s="3"/>
      <c r="AL944" s="4"/>
      <c r="AM944" s="5"/>
      <c r="AN944" s="5"/>
      <c r="AO944" s="5"/>
      <c r="AP944" s="5"/>
      <c r="AQ944" s="5"/>
      <c r="AR944" s="5"/>
      <c r="AS944" s="6"/>
      <c r="AU944" s="6"/>
      <c r="AW944" s="6"/>
      <c r="AY944" s="5"/>
      <c r="AZ944" s="5"/>
      <c r="BA944" s="5"/>
      <c r="BC944" s="6"/>
      <c r="BE944" s="6"/>
      <c r="BG944" s="6"/>
      <c r="BH944" s="5"/>
      <c r="BI944" s="5"/>
      <c r="BJ944" s="7"/>
    </row>
    <row r="945" s="1" customFormat="true" ht="14.25" hidden="false" customHeight="false" outlineLevel="0" collapsed="false">
      <c r="G945" s="2"/>
      <c r="M945" s="2"/>
      <c r="Z945" s="3"/>
      <c r="AL945" s="4"/>
      <c r="AM945" s="5"/>
      <c r="AN945" s="5"/>
      <c r="AO945" s="5"/>
      <c r="AP945" s="5"/>
      <c r="AQ945" s="5"/>
      <c r="AR945" s="5"/>
      <c r="AS945" s="6"/>
      <c r="AU945" s="6"/>
      <c r="AW945" s="6"/>
      <c r="AY945" s="5"/>
      <c r="AZ945" s="5"/>
      <c r="BA945" s="5"/>
      <c r="BC945" s="6"/>
      <c r="BE945" s="6"/>
      <c r="BG945" s="6"/>
      <c r="BH945" s="5"/>
      <c r="BI945" s="5"/>
      <c r="BJ945" s="7"/>
    </row>
    <row r="946" s="1" customFormat="true" ht="14.25" hidden="false" customHeight="false" outlineLevel="0" collapsed="false">
      <c r="G946" s="2"/>
      <c r="M946" s="2"/>
      <c r="Z946" s="3"/>
      <c r="AL946" s="4"/>
      <c r="AM946" s="5"/>
      <c r="AN946" s="5"/>
      <c r="AO946" s="5"/>
      <c r="AP946" s="5"/>
      <c r="AQ946" s="5"/>
      <c r="AR946" s="5"/>
      <c r="AS946" s="6"/>
      <c r="AU946" s="6"/>
      <c r="AW946" s="6"/>
      <c r="AY946" s="5"/>
      <c r="AZ946" s="5"/>
      <c r="BA946" s="5"/>
      <c r="BC946" s="6"/>
      <c r="BE946" s="6"/>
      <c r="BG946" s="6"/>
      <c r="BH946" s="5"/>
      <c r="BI946" s="5"/>
      <c r="BJ946" s="7"/>
    </row>
    <row r="947" s="1" customFormat="true" ht="14.25" hidden="false" customHeight="false" outlineLevel="0" collapsed="false">
      <c r="G947" s="2"/>
      <c r="M947" s="2"/>
      <c r="Z947" s="3"/>
      <c r="AL947" s="4"/>
      <c r="AM947" s="5"/>
      <c r="AN947" s="5"/>
      <c r="AO947" s="5"/>
      <c r="AP947" s="5"/>
      <c r="AQ947" s="5"/>
      <c r="AR947" s="5"/>
      <c r="AS947" s="6"/>
      <c r="AU947" s="6"/>
      <c r="AW947" s="6"/>
      <c r="AY947" s="5"/>
      <c r="AZ947" s="5"/>
      <c r="BA947" s="5"/>
      <c r="BC947" s="6"/>
      <c r="BE947" s="6"/>
      <c r="BG947" s="6"/>
      <c r="BH947" s="5"/>
      <c r="BI947" s="5"/>
      <c r="BJ947" s="7"/>
    </row>
    <row r="948" s="1" customFormat="true" ht="14.25" hidden="false" customHeight="false" outlineLevel="0" collapsed="false">
      <c r="G948" s="2"/>
      <c r="M948" s="2"/>
      <c r="Z948" s="3"/>
      <c r="AL948" s="4"/>
      <c r="AM948" s="5"/>
      <c r="AN948" s="5"/>
      <c r="AO948" s="5"/>
      <c r="AP948" s="5"/>
      <c r="AQ948" s="5"/>
      <c r="AR948" s="5"/>
      <c r="AS948" s="6"/>
      <c r="AU948" s="6"/>
      <c r="AW948" s="6"/>
      <c r="AY948" s="5"/>
      <c r="AZ948" s="5"/>
      <c r="BA948" s="5"/>
      <c r="BC948" s="6"/>
      <c r="BE948" s="6"/>
      <c r="BG948" s="6"/>
      <c r="BH948" s="5"/>
      <c r="BI948" s="5"/>
      <c r="BJ948" s="7"/>
    </row>
    <row r="949" s="1" customFormat="true" ht="14.25" hidden="false" customHeight="false" outlineLevel="0" collapsed="false">
      <c r="G949" s="2"/>
      <c r="M949" s="2"/>
      <c r="Z949" s="3"/>
      <c r="AL949" s="4"/>
      <c r="AM949" s="5"/>
      <c r="AN949" s="5"/>
      <c r="AO949" s="5"/>
      <c r="AP949" s="5"/>
      <c r="AQ949" s="5"/>
      <c r="AR949" s="5"/>
      <c r="AS949" s="6"/>
      <c r="AU949" s="6"/>
      <c r="AW949" s="6"/>
      <c r="AY949" s="5"/>
      <c r="AZ949" s="5"/>
      <c r="BA949" s="5"/>
      <c r="BC949" s="6"/>
      <c r="BE949" s="6"/>
      <c r="BG949" s="6"/>
      <c r="BH949" s="5"/>
      <c r="BI949" s="5"/>
      <c r="BJ949" s="7"/>
    </row>
    <row r="950" s="1" customFormat="true" ht="14.25" hidden="false" customHeight="false" outlineLevel="0" collapsed="false">
      <c r="G950" s="2"/>
      <c r="M950" s="2"/>
      <c r="Z950" s="3"/>
      <c r="AL950" s="4"/>
      <c r="AM950" s="5"/>
      <c r="AN950" s="5"/>
      <c r="AO950" s="5"/>
      <c r="AP950" s="5"/>
      <c r="AQ950" s="5"/>
      <c r="AR950" s="5"/>
      <c r="AS950" s="6"/>
      <c r="AU950" s="6"/>
      <c r="AW950" s="6"/>
      <c r="AY950" s="5"/>
      <c r="AZ950" s="5"/>
      <c r="BA950" s="5"/>
      <c r="BC950" s="6"/>
      <c r="BE950" s="6"/>
      <c r="BG950" s="6"/>
      <c r="BH950" s="5"/>
      <c r="BI950" s="5"/>
      <c r="BJ950" s="7"/>
    </row>
    <row r="951" s="1" customFormat="true" ht="14.25" hidden="false" customHeight="false" outlineLevel="0" collapsed="false">
      <c r="G951" s="2"/>
      <c r="M951" s="2"/>
      <c r="Z951" s="3"/>
      <c r="AL951" s="4"/>
      <c r="AM951" s="5"/>
      <c r="AN951" s="5"/>
      <c r="AO951" s="5"/>
      <c r="AP951" s="5"/>
      <c r="AQ951" s="5"/>
      <c r="AR951" s="5"/>
      <c r="AS951" s="6"/>
      <c r="AU951" s="6"/>
      <c r="AW951" s="6"/>
      <c r="AY951" s="5"/>
      <c r="AZ951" s="5"/>
      <c r="BA951" s="5"/>
      <c r="BC951" s="6"/>
      <c r="BE951" s="6"/>
      <c r="BG951" s="6"/>
      <c r="BH951" s="5"/>
      <c r="BI951" s="5"/>
      <c r="BJ951" s="7"/>
    </row>
    <row r="952" s="1" customFormat="true" ht="14.25" hidden="false" customHeight="false" outlineLevel="0" collapsed="false">
      <c r="G952" s="2"/>
      <c r="M952" s="2"/>
      <c r="Z952" s="3"/>
      <c r="AL952" s="4"/>
      <c r="AM952" s="5"/>
      <c r="AN952" s="5"/>
      <c r="AO952" s="5"/>
      <c r="AP952" s="5"/>
      <c r="AQ952" s="5"/>
      <c r="AR952" s="5"/>
      <c r="AS952" s="6"/>
      <c r="AU952" s="6"/>
      <c r="AW952" s="6"/>
      <c r="AY952" s="5"/>
      <c r="AZ952" s="5"/>
      <c r="BA952" s="5"/>
      <c r="BC952" s="6"/>
      <c r="BE952" s="6"/>
      <c r="BG952" s="6"/>
      <c r="BH952" s="5"/>
      <c r="BI952" s="5"/>
      <c r="BJ952" s="7"/>
    </row>
    <row r="953" s="1" customFormat="true" ht="14.25" hidden="false" customHeight="false" outlineLevel="0" collapsed="false">
      <c r="G953" s="2"/>
      <c r="M953" s="2"/>
      <c r="Z953" s="3"/>
      <c r="AL953" s="4"/>
      <c r="AM953" s="5"/>
      <c r="AN953" s="5"/>
      <c r="AO953" s="5"/>
      <c r="AP953" s="5"/>
      <c r="AQ953" s="5"/>
      <c r="AR953" s="5"/>
      <c r="AS953" s="6"/>
      <c r="AU953" s="6"/>
      <c r="AW953" s="6"/>
      <c r="AY953" s="5"/>
      <c r="AZ953" s="5"/>
      <c r="BA953" s="5"/>
      <c r="BC953" s="6"/>
      <c r="BE953" s="6"/>
      <c r="BG953" s="6"/>
      <c r="BH953" s="5"/>
      <c r="BI953" s="5"/>
      <c r="BJ953" s="7"/>
    </row>
    <row r="954" s="1" customFormat="true" ht="14.25" hidden="false" customHeight="false" outlineLevel="0" collapsed="false">
      <c r="G954" s="2"/>
      <c r="M954" s="2"/>
      <c r="Z954" s="3"/>
      <c r="AL954" s="4"/>
      <c r="AM954" s="5"/>
      <c r="AN954" s="5"/>
      <c r="AO954" s="5"/>
      <c r="AP954" s="5"/>
      <c r="AQ954" s="5"/>
      <c r="AR954" s="5"/>
      <c r="AS954" s="6"/>
      <c r="AU954" s="6"/>
      <c r="AW954" s="6"/>
      <c r="AY954" s="5"/>
      <c r="AZ954" s="5"/>
      <c r="BA954" s="5"/>
      <c r="BC954" s="6"/>
      <c r="BE954" s="6"/>
      <c r="BG954" s="6"/>
      <c r="BH954" s="5"/>
      <c r="BI954" s="5"/>
      <c r="BJ954" s="7"/>
    </row>
    <row r="955" s="1" customFormat="true" ht="14.25" hidden="false" customHeight="false" outlineLevel="0" collapsed="false">
      <c r="G955" s="2"/>
      <c r="M955" s="2"/>
      <c r="Z955" s="3"/>
      <c r="AL955" s="4"/>
      <c r="AM955" s="5"/>
      <c r="AN955" s="5"/>
      <c r="AO955" s="5"/>
      <c r="AP955" s="5"/>
      <c r="AQ955" s="5"/>
      <c r="AR955" s="5"/>
      <c r="AS955" s="6"/>
      <c r="AU955" s="6"/>
      <c r="AW955" s="6"/>
      <c r="AY955" s="5"/>
      <c r="AZ955" s="5"/>
      <c r="BA955" s="5"/>
      <c r="BC955" s="6"/>
      <c r="BE955" s="6"/>
      <c r="BG955" s="6"/>
      <c r="BH955" s="5"/>
      <c r="BI955" s="5"/>
      <c r="BJ955" s="7"/>
    </row>
    <row r="956" s="1" customFormat="true" ht="14.25" hidden="false" customHeight="false" outlineLevel="0" collapsed="false">
      <c r="G956" s="2"/>
      <c r="M956" s="2"/>
      <c r="Z956" s="3"/>
      <c r="AL956" s="4"/>
      <c r="AM956" s="5"/>
      <c r="AN956" s="5"/>
      <c r="AO956" s="5"/>
      <c r="AP956" s="5"/>
      <c r="AQ956" s="5"/>
      <c r="AR956" s="5"/>
      <c r="AS956" s="6"/>
      <c r="AU956" s="6"/>
      <c r="AW956" s="6"/>
      <c r="AY956" s="5"/>
      <c r="AZ956" s="5"/>
      <c r="BA956" s="5"/>
      <c r="BC956" s="6"/>
      <c r="BE956" s="6"/>
      <c r="BG956" s="6"/>
      <c r="BH956" s="5"/>
      <c r="BI956" s="5"/>
      <c r="BJ956" s="7"/>
    </row>
    <row r="957" s="1" customFormat="true" ht="14.25" hidden="false" customHeight="false" outlineLevel="0" collapsed="false">
      <c r="G957" s="2"/>
      <c r="M957" s="2"/>
      <c r="Z957" s="3"/>
      <c r="AL957" s="4"/>
      <c r="AM957" s="5"/>
      <c r="AN957" s="5"/>
      <c r="AO957" s="5"/>
      <c r="AP957" s="5"/>
      <c r="AQ957" s="5"/>
      <c r="AR957" s="5"/>
      <c r="AS957" s="6"/>
      <c r="AU957" s="6"/>
      <c r="AW957" s="6"/>
      <c r="AY957" s="5"/>
      <c r="AZ957" s="5"/>
      <c r="BA957" s="5"/>
      <c r="BC957" s="6"/>
      <c r="BE957" s="6"/>
      <c r="BG957" s="6"/>
      <c r="BH957" s="5"/>
      <c r="BI957" s="5"/>
      <c r="BJ957" s="7"/>
    </row>
    <row r="958" s="1" customFormat="true" ht="14.25" hidden="false" customHeight="false" outlineLevel="0" collapsed="false">
      <c r="G958" s="2"/>
      <c r="M958" s="2"/>
      <c r="Z958" s="3"/>
      <c r="AL958" s="4"/>
      <c r="AM958" s="5"/>
      <c r="AN958" s="5"/>
      <c r="AO958" s="5"/>
      <c r="AP958" s="5"/>
      <c r="AQ958" s="5"/>
      <c r="AR958" s="5"/>
      <c r="AS958" s="6"/>
      <c r="AU958" s="6"/>
      <c r="AW958" s="6"/>
      <c r="AY958" s="5"/>
      <c r="AZ958" s="5"/>
      <c r="BA958" s="5"/>
      <c r="BC958" s="6"/>
      <c r="BE958" s="6"/>
      <c r="BG958" s="6"/>
      <c r="BH958" s="5"/>
      <c r="BI958" s="5"/>
      <c r="BJ958" s="7"/>
    </row>
    <row r="959" s="1" customFormat="true" ht="14.25" hidden="false" customHeight="false" outlineLevel="0" collapsed="false">
      <c r="G959" s="2"/>
      <c r="M959" s="2"/>
      <c r="Z959" s="3"/>
      <c r="AL959" s="4"/>
      <c r="AM959" s="5"/>
      <c r="AN959" s="5"/>
      <c r="AO959" s="5"/>
      <c r="AP959" s="5"/>
      <c r="AQ959" s="5"/>
      <c r="AR959" s="5"/>
      <c r="AS959" s="6"/>
      <c r="AU959" s="6"/>
      <c r="AW959" s="6"/>
      <c r="AY959" s="5"/>
      <c r="AZ959" s="5"/>
      <c r="BA959" s="5"/>
      <c r="BC959" s="6"/>
      <c r="BE959" s="6"/>
      <c r="BG959" s="6"/>
      <c r="BH959" s="5"/>
      <c r="BI959" s="5"/>
      <c r="BJ959" s="7"/>
    </row>
    <row r="960" s="1" customFormat="true" ht="14.25" hidden="false" customHeight="false" outlineLevel="0" collapsed="false">
      <c r="G960" s="2"/>
      <c r="M960" s="2"/>
      <c r="Z960" s="3"/>
      <c r="AL960" s="4"/>
      <c r="AM960" s="5"/>
      <c r="AN960" s="5"/>
      <c r="AO960" s="5"/>
      <c r="AP960" s="5"/>
      <c r="AQ960" s="5"/>
      <c r="AR960" s="5"/>
      <c r="AS960" s="6"/>
      <c r="AU960" s="6"/>
      <c r="AW960" s="6"/>
      <c r="AY960" s="5"/>
      <c r="AZ960" s="5"/>
      <c r="BA960" s="5"/>
      <c r="BC960" s="6"/>
      <c r="BE960" s="6"/>
      <c r="BG960" s="6"/>
      <c r="BH960" s="5"/>
      <c r="BI960" s="5"/>
      <c r="BJ960" s="7"/>
    </row>
    <row r="961" s="1" customFormat="true" ht="14.25" hidden="false" customHeight="false" outlineLevel="0" collapsed="false">
      <c r="G961" s="2"/>
      <c r="M961" s="2"/>
      <c r="Z961" s="3"/>
      <c r="AL961" s="4"/>
      <c r="AM961" s="5"/>
      <c r="AN961" s="5"/>
      <c r="AO961" s="5"/>
      <c r="AP961" s="5"/>
      <c r="AQ961" s="5"/>
      <c r="AR961" s="5"/>
      <c r="AS961" s="6"/>
      <c r="AU961" s="6"/>
      <c r="AW961" s="6"/>
      <c r="AY961" s="5"/>
      <c r="AZ961" s="5"/>
      <c r="BA961" s="5"/>
      <c r="BC961" s="6"/>
      <c r="BE961" s="6"/>
      <c r="BG961" s="6"/>
      <c r="BH961" s="5"/>
      <c r="BI961" s="5"/>
      <c r="BJ961" s="7"/>
    </row>
    <row r="962" s="1" customFormat="true" ht="14.25" hidden="false" customHeight="false" outlineLevel="0" collapsed="false">
      <c r="G962" s="2"/>
      <c r="M962" s="2"/>
      <c r="Z962" s="3"/>
      <c r="AL962" s="4"/>
      <c r="AM962" s="5"/>
      <c r="AN962" s="5"/>
      <c r="AO962" s="5"/>
      <c r="AP962" s="5"/>
      <c r="AQ962" s="5"/>
      <c r="AR962" s="5"/>
      <c r="AS962" s="6"/>
      <c r="AU962" s="6"/>
      <c r="AW962" s="6"/>
      <c r="AY962" s="5"/>
      <c r="AZ962" s="5"/>
      <c r="BA962" s="5"/>
      <c r="BC962" s="6"/>
      <c r="BE962" s="6"/>
      <c r="BG962" s="6"/>
      <c r="BH962" s="5"/>
      <c r="BI962" s="5"/>
      <c r="BJ962" s="7"/>
    </row>
    <row r="963" s="1" customFormat="true" ht="14.25" hidden="false" customHeight="false" outlineLevel="0" collapsed="false">
      <c r="G963" s="2"/>
      <c r="M963" s="2"/>
      <c r="Z963" s="3"/>
      <c r="AL963" s="4"/>
      <c r="AM963" s="5"/>
      <c r="AN963" s="5"/>
      <c r="AO963" s="5"/>
      <c r="AP963" s="5"/>
      <c r="AQ963" s="5"/>
      <c r="AR963" s="5"/>
      <c r="AS963" s="6"/>
      <c r="AU963" s="6"/>
      <c r="AW963" s="6"/>
      <c r="AY963" s="5"/>
      <c r="AZ963" s="5"/>
      <c r="BA963" s="5"/>
      <c r="BC963" s="6"/>
      <c r="BE963" s="6"/>
      <c r="BG963" s="6"/>
      <c r="BH963" s="5"/>
      <c r="BI963" s="5"/>
      <c r="BJ963" s="7"/>
    </row>
    <row r="964" s="1" customFormat="true" ht="14.25" hidden="false" customHeight="false" outlineLevel="0" collapsed="false">
      <c r="G964" s="2"/>
      <c r="M964" s="2"/>
      <c r="Z964" s="3"/>
      <c r="AL964" s="4"/>
      <c r="AM964" s="5"/>
      <c r="AN964" s="5"/>
      <c r="AO964" s="5"/>
      <c r="AP964" s="5"/>
      <c r="AQ964" s="5"/>
      <c r="AR964" s="5"/>
      <c r="AS964" s="6"/>
      <c r="AU964" s="6"/>
      <c r="AW964" s="6"/>
      <c r="AY964" s="5"/>
      <c r="AZ964" s="5"/>
      <c r="BA964" s="5"/>
      <c r="BC964" s="6"/>
      <c r="BE964" s="6"/>
      <c r="BG964" s="6"/>
      <c r="BH964" s="5"/>
      <c r="BI964" s="5"/>
      <c r="BJ964" s="7"/>
    </row>
    <row r="965" s="1" customFormat="true" ht="14.25" hidden="false" customHeight="false" outlineLevel="0" collapsed="false">
      <c r="G965" s="2"/>
      <c r="M965" s="2"/>
      <c r="Z965" s="3"/>
      <c r="AL965" s="4"/>
      <c r="AM965" s="5"/>
      <c r="AN965" s="5"/>
      <c r="AO965" s="5"/>
      <c r="AP965" s="5"/>
      <c r="AQ965" s="5"/>
      <c r="AR965" s="5"/>
      <c r="AS965" s="6"/>
      <c r="AU965" s="6"/>
      <c r="AW965" s="6"/>
      <c r="AY965" s="5"/>
      <c r="AZ965" s="5"/>
      <c r="BA965" s="5"/>
      <c r="BC965" s="6"/>
      <c r="BE965" s="6"/>
      <c r="BG965" s="6"/>
      <c r="BH965" s="5"/>
      <c r="BI965" s="5"/>
      <c r="BJ965" s="7"/>
    </row>
    <row r="966" s="1" customFormat="true" ht="14.25" hidden="false" customHeight="false" outlineLevel="0" collapsed="false">
      <c r="G966" s="2"/>
      <c r="M966" s="2"/>
      <c r="Z966" s="3"/>
      <c r="AL966" s="4"/>
      <c r="AM966" s="5"/>
      <c r="AN966" s="5"/>
      <c r="AO966" s="5"/>
      <c r="AP966" s="5"/>
      <c r="AQ966" s="5"/>
      <c r="AR966" s="5"/>
      <c r="AS966" s="6"/>
      <c r="AU966" s="6"/>
      <c r="AW966" s="6"/>
      <c r="AY966" s="5"/>
      <c r="AZ966" s="5"/>
      <c r="BA966" s="5"/>
      <c r="BC966" s="6"/>
      <c r="BE966" s="6"/>
      <c r="BG966" s="6"/>
      <c r="BH966" s="5"/>
      <c r="BI966" s="5"/>
      <c r="BJ966" s="7"/>
    </row>
    <row r="967" s="1" customFormat="true" ht="14.25" hidden="false" customHeight="false" outlineLevel="0" collapsed="false">
      <c r="G967" s="2"/>
      <c r="M967" s="2"/>
      <c r="Z967" s="3"/>
      <c r="AL967" s="4"/>
      <c r="AM967" s="5"/>
      <c r="AN967" s="5"/>
      <c r="AO967" s="5"/>
      <c r="AP967" s="5"/>
      <c r="AQ967" s="5"/>
      <c r="AR967" s="5"/>
      <c r="AS967" s="6"/>
      <c r="AU967" s="6"/>
      <c r="AW967" s="6"/>
      <c r="AY967" s="5"/>
      <c r="AZ967" s="5"/>
      <c r="BA967" s="5"/>
      <c r="BC967" s="6"/>
      <c r="BE967" s="6"/>
      <c r="BG967" s="6"/>
      <c r="BH967" s="5"/>
      <c r="BI967" s="5"/>
      <c r="BJ967" s="7"/>
    </row>
    <row r="968" s="1" customFormat="true" ht="14.25" hidden="false" customHeight="false" outlineLevel="0" collapsed="false">
      <c r="G968" s="2"/>
      <c r="M968" s="2"/>
      <c r="Z968" s="3"/>
      <c r="AL968" s="4"/>
      <c r="AM968" s="5"/>
      <c r="AN968" s="5"/>
      <c r="AO968" s="5"/>
      <c r="AP968" s="5"/>
      <c r="AQ968" s="5"/>
      <c r="AR968" s="5"/>
      <c r="AS968" s="6"/>
      <c r="AU968" s="6"/>
      <c r="AW968" s="6"/>
      <c r="AY968" s="5"/>
      <c r="AZ968" s="5"/>
      <c r="BA968" s="5"/>
      <c r="BC968" s="6"/>
      <c r="BE968" s="6"/>
      <c r="BG968" s="6"/>
      <c r="BH968" s="5"/>
      <c r="BI968" s="5"/>
      <c r="BJ968" s="7"/>
    </row>
    <row r="969" s="1" customFormat="true" ht="14.25" hidden="false" customHeight="false" outlineLevel="0" collapsed="false">
      <c r="G969" s="2"/>
      <c r="M969" s="2"/>
      <c r="Z969" s="3"/>
      <c r="AL969" s="4"/>
      <c r="AM969" s="5"/>
      <c r="AN969" s="5"/>
      <c r="AO969" s="5"/>
      <c r="AP969" s="5"/>
      <c r="AQ969" s="5"/>
      <c r="AR969" s="5"/>
      <c r="AS969" s="6"/>
      <c r="AU969" s="6"/>
      <c r="AW969" s="6"/>
      <c r="AY969" s="5"/>
      <c r="AZ969" s="5"/>
      <c r="BA969" s="5"/>
      <c r="BC969" s="6"/>
      <c r="BE969" s="6"/>
      <c r="BG969" s="6"/>
      <c r="BH969" s="5"/>
      <c r="BI969" s="5"/>
      <c r="BJ969" s="7"/>
    </row>
    <row r="970" s="1" customFormat="true" ht="14.25" hidden="false" customHeight="false" outlineLevel="0" collapsed="false">
      <c r="G970" s="2"/>
      <c r="M970" s="2"/>
      <c r="Z970" s="3"/>
      <c r="AL970" s="4"/>
      <c r="AM970" s="5"/>
      <c r="AN970" s="5"/>
      <c r="AO970" s="5"/>
      <c r="AP970" s="5"/>
      <c r="AQ970" s="5"/>
      <c r="AR970" s="5"/>
      <c r="AS970" s="6"/>
      <c r="AU970" s="6"/>
      <c r="AW970" s="6"/>
      <c r="AY970" s="5"/>
      <c r="AZ970" s="5"/>
      <c r="BA970" s="5"/>
      <c r="BC970" s="6"/>
      <c r="BE970" s="6"/>
      <c r="BG970" s="6"/>
      <c r="BH970" s="5"/>
      <c r="BI970" s="5"/>
      <c r="BJ970" s="7"/>
    </row>
    <row r="971" s="1" customFormat="true" ht="14.25" hidden="false" customHeight="false" outlineLevel="0" collapsed="false">
      <c r="G971" s="2"/>
      <c r="M971" s="2"/>
      <c r="Z971" s="3"/>
      <c r="AL971" s="4"/>
      <c r="AM971" s="5"/>
      <c r="AN971" s="5"/>
      <c r="AO971" s="5"/>
      <c r="AP971" s="5"/>
      <c r="AQ971" s="5"/>
      <c r="AR971" s="5"/>
      <c r="AS971" s="6"/>
      <c r="AU971" s="6"/>
      <c r="AW971" s="6"/>
      <c r="AY971" s="5"/>
      <c r="AZ971" s="5"/>
      <c r="BA971" s="5"/>
      <c r="BC971" s="6"/>
      <c r="BE971" s="6"/>
      <c r="BG971" s="6"/>
      <c r="BH971" s="5"/>
      <c r="BI971" s="5"/>
      <c r="BJ971" s="7"/>
    </row>
    <row r="972" s="1" customFormat="true" ht="14.25" hidden="false" customHeight="false" outlineLevel="0" collapsed="false">
      <c r="G972" s="2"/>
      <c r="M972" s="2"/>
      <c r="Z972" s="3"/>
      <c r="AL972" s="4"/>
      <c r="AM972" s="5"/>
      <c r="AN972" s="5"/>
      <c r="AO972" s="5"/>
      <c r="AP972" s="5"/>
      <c r="AQ972" s="5"/>
      <c r="AR972" s="5"/>
      <c r="AS972" s="6"/>
      <c r="AU972" s="6"/>
      <c r="AW972" s="6"/>
      <c r="AY972" s="5"/>
      <c r="AZ972" s="5"/>
      <c r="BA972" s="5"/>
      <c r="BC972" s="6"/>
      <c r="BE972" s="6"/>
      <c r="BG972" s="6"/>
      <c r="BH972" s="5"/>
      <c r="BI972" s="5"/>
      <c r="BJ972" s="7"/>
    </row>
    <row r="973" s="1" customFormat="true" ht="14.25" hidden="false" customHeight="false" outlineLevel="0" collapsed="false">
      <c r="G973" s="2"/>
      <c r="M973" s="2"/>
      <c r="Z973" s="3"/>
      <c r="AL973" s="4"/>
      <c r="AM973" s="5"/>
      <c r="AN973" s="5"/>
      <c r="AO973" s="5"/>
      <c r="AP973" s="5"/>
      <c r="AQ973" s="5"/>
      <c r="AR973" s="5"/>
      <c r="AS973" s="6"/>
      <c r="AU973" s="6"/>
      <c r="AW973" s="6"/>
      <c r="AY973" s="5"/>
      <c r="AZ973" s="5"/>
      <c r="BA973" s="5"/>
      <c r="BC973" s="6"/>
      <c r="BE973" s="6"/>
      <c r="BG973" s="6"/>
      <c r="BH973" s="5"/>
      <c r="BI973" s="5"/>
      <c r="BJ973" s="7"/>
    </row>
    <row r="974" s="1" customFormat="true" ht="14.25" hidden="false" customHeight="false" outlineLevel="0" collapsed="false">
      <c r="G974" s="2"/>
      <c r="M974" s="2"/>
      <c r="Z974" s="3"/>
      <c r="AL974" s="4"/>
      <c r="AM974" s="5"/>
      <c r="AN974" s="5"/>
      <c r="AO974" s="5"/>
      <c r="AP974" s="5"/>
      <c r="AQ974" s="5"/>
      <c r="AR974" s="5"/>
      <c r="AS974" s="6"/>
      <c r="AU974" s="6"/>
      <c r="AW974" s="6"/>
      <c r="AY974" s="5"/>
      <c r="AZ974" s="5"/>
      <c r="BA974" s="5"/>
      <c r="BC974" s="6"/>
      <c r="BE974" s="6"/>
      <c r="BG974" s="6"/>
      <c r="BH974" s="5"/>
      <c r="BI974" s="5"/>
      <c r="BJ974" s="7"/>
    </row>
    <row r="975" s="1" customFormat="true" ht="14.25" hidden="false" customHeight="false" outlineLevel="0" collapsed="false">
      <c r="G975" s="2"/>
      <c r="M975" s="2"/>
      <c r="Z975" s="3"/>
      <c r="AL975" s="4"/>
      <c r="AM975" s="5"/>
      <c r="AN975" s="5"/>
      <c r="AO975" s="5"/>
      <c r="AP975" s="5"/>
      <c r="AQ975" s="5"/>
      <c r="AR975" s="5"/>
      <c r="AS975" s="6"/>
      <c r="AU975" s="6"/>
      <c r="AW975" s="6"/>
      <c r="AY975" s="5"/>
      <c r="AZ975" s="5"/>
      <c r="BA975" s="5"/>
      <c r="BC975" s="6"/>
      <c r="BE975" s="6"/>
      <c r="BG975" s="6"/>
      <c r="BH975" s="5"/>
      <c r="BI975" s="5"/>
      <c r="BJ975" s="7"/>
    </row>
    <row r="976" s="1" customFormat="true" ht="14.25" hidden="false" customHeight="false" outlineLevel="0" collapsed="false">
      <c r="G976" s="2"/>
      <c r="M976" s="2"/>
      <c r="Z976" s="3"/>
      <c r="AL976" s="4"/>
      <c r="AM976" s="5"/>
      <c r="AN976" s="5"/>
      <c r="AO976" s="5"/>
      <c r="AP976" s="5"/>
      <c r="AQ976" s="5"/>
      <c r="AR976" s="5"/>
      <c r="AS976" s="6"/>
      <c r="AU976" s="6"/>
      <c r="AW976" s="6"/>
      <c r="AY976" s="5"/>
      <c r="AZ976" s="5"/>
      <c r="BA976" s="5"/>
      <c r="BC976" s="6"/>
      <c r="BE976" s="6"/>
      <c r="BG976" s="6"/>
      <c r="BH976" s="5"/>
      <c r="BI976" s="5"/>
      <c r="BJ976" s="7"/>
    </row>
    <row r="977" s="1" customFormat="true" ht="14.25" hidden="false" customHeight="false" outlineLevel="0" collapsed="false">
      <c r="G977" s="2"/>
      <c r="M977" s="2"/>
      <c r="Z977" s="3"/>
      <c r="AL977" s="4"/>
      <c r="AM977" s="5"/>
      <c r="AN977" s="5"/>
      <c r="AO977" s="5"/>
      <c r="AP977" s="5"/>
      <c r="AQ977" s="5"/>
      <c r="AR977" s="5"/>
      <c r="AS977" s="6"/>
      <c r="AU977" s="6"/>
      <c r="AW977" s="6"/>
      <c r="AY977" s="5"/>
      <c r="AZ977" s="5"/>
      <c r="BA977" s="5"/>
      <c r="BC977" s="6"/>
      <c r="BE977" s="6"/>
      <c r="BG977" s="6"/>
      <c r="BH977" s="5"/>
      <c r="BI977" s="5"/>
      <c r="BJ977" s="7"/>
    </row>
    <row r="978" s="1" customFormat="true" ht="14.25" hidden="false" customHeight="false" outlineLevel="0" collapsed="false">
      <c r="G978" s="2"/>
      <c r="M978" s="2"/>
      <c r="Z978" s="3"/>
      <c r="AL978" s="4"/>
      <c r="AM978" s="5"/>
      <c r="AN978" s="5"/>
      <c r="AO978" s="5"/>
      <c r="AP978" s="5"/>
      <c r="AQ978" s="5"/>
      <c r="AR978" s="5"/>
      <c r="AS978" s="6"/>
      <c r="AU978" s="6"/>
      <c r="AW978" s="6"/>
      <c r="AY978" s="5"/>
      <c r="AZ978" s="5"/>
      <c r="BA978" s="5"/>
      <c r="BC978" s="6"/>
      <c r="BE978" s="6"/>
      <c r="BG978" s="6"/>
      <c r="BH978" s="5"/>
      <c r="BI978" s="5"/>
      <c r="BJ978" s="7"/>
    </row>
    <row r="979" s="1" customFormat="true" ht="14.25" hidden="false" customHeight="false" outlineLevel="0" collapsed="false">
      <c r="G979" s="2"/>
      <c r="M979" s="2"/>
      <c r="Z979" s="3"/>
      <c r="AL979" s="4"/>
      <c r="AM979" s="5"/>
      <c r="AN979" s="5"/>
      <c r="AO979" s="5"/>
      <c r="AP979" s="5"/>
      <c r="AQ979" s="5"/>
      <c r="AR979" s="5"/>
      <c r="AS979" s="6"/>
      <c r="AU979" s="6"/>
      <c r="AW979" s="6"/>
      <c r="AY979" s="5"/>
      <c r="AZ979" s="5"/>
      <c r="BA979" s="5"/>
      <c r="BC979" s="6"/>
      <c r="BE979" s="6"/>
      <c r="BG979" s="6"/>
      <c r="BH979" s="5"/>
      <c r="BI979" s="5"/>
      <c r="BJ979" s="7"/>
    </row>
    <row r="980" s="1" customFormat="true" ht="14.25" hidden="false" customHeight="false" outlineLevel="0" collapsed="false">
      <c r="G980" s="2"/>
      <c r="M980" s="2"/>
      <c r="Z980" s="3"/>
      <c r="AL980" s="4"/>
      <c r="AM980" s="5"/>
      <c r="AN980" s="5"/>
      <c r="AO980" s="5"/>
      <c r="AP980" s="5"/>
      <c r="AQ980" s="5"/>
      <c r="AR980" s="5"/>
      <c r="AS980" s="6"/>
      <c r="AU980" s="6"/>
      <c r="AW980" s="6"/>
      <c r="AY980" s="5"/>
      <c r="AZ980" s="5"/>
      <c r="BA980" s="5"/>
      <c r="BC980" s="6"/>
      <c r="BE980" s="6"/>
      <c r="BG980" s="6"/>
      <c r="BH980" s="5"/>
      <c r="BI980" s="5"/>
      <c r="BJ980" s="7"/>
    </row>
    <row r="981" s="1" customFormat="true" ht="14.25" hidden="false" customHeight="false" outlineLevel="0" collapsed="false">
      <c r="G981" s="2"/>
      <c r="M981" s="2"/>
      <c r="Z981" s="3"/>
      <c r="AL981" s="4"/>
      <c r="AM981" s="5"/>
      <c r="AN981" s="5"/>
      <c r="AO981" s="5"/>
      <c r="AP981" s="5"/>
      <c r="AQ981" s="5"/>
      <c r="AR981" s="5"/>
      <c r="AS981" s="6"/>
      <c r="AU981" s="6"/>
      <c r="AW981" s="6"/>
      <c r="AY981" s="5"/>
      <c r="AZ981" s="5"/>
      <c r="BA981" s="5"/>
      <c r="BC981" s="6"/>
      <c r="BE981" s="6"/>
      <c r="BG981" s="6"/>
      <c r="BH981" s="5"/>
      <c r="BI981" s="5"/>
      <c r="BJ981" s="7"/>
    </row>
    <row r="982" s="1" customFormat="true" ht="14.25" hidden="false" customHeight="false" outlineLevel="0" collapsed="false">
      <c r="G982" s="2"/>
      <c r="M982" s="2"/>
      <c r="Z982" s="3"/>
      <c r="AL982" s="4"/>
      <c r="AM982" s="5"/>
      <c r="AN982" s="5"/>
      <c r="AO982" s="5"/>
      <c r="AP982" s="5"/>
      <c r="AQ982" s="5"/>
      <c r="AR982" s="5"/>
      <c r="AS982" s="6"/>
      <c r="AU982" s="6"/>
      <c r="AW982" s="6"/>
      <c r="AY982" s="5"/>
      <c r="AZ982" s="5"/>
      <c r="BA982" s="5"/>
      <c r="BC982" s="6"/>
      <c r="BE982" s="6"/>
      <c r="BG982" s="6"/>
      <c r="BH982" s="5"/>
      <c r="BI982" s="5"/>
      <c r="BJ982" s="7"/>
    </row>
    <row r="983" s="1" customFormat="true" ht="14.25" hidden="false" customHeight="false" outlineLevel="0" collapsed="false">
      <c r="G983" s="2"/>
      <c r="M983" s="2"/>
      <c r="Z983" s="3"/>
      <c r="AL983" s="4"/>
      <c r="AM983" s="5"/>
      <c r="AN983" s="5"/>
      <c r="AO983" s="5"/>
      <c r="AP983" s="5"/>
      <c r="AQ983" s="5"/>
      <c r="AR983" s="5"/>
      <c r="AS983" s="6"/>
      <c r="AU983" s="6"/>
      <c r="AW983" s="6"/>
      <c r="AY983" s="5"/>
      <c r="AZ983" s="5"/>
      <c r="BA983" s="5"/>
      <c r="BC983" s="6"/>
      <c r="BE983" s="6"/>
      <c r="BG983" s="6"/>
      <c r="BH983" s="5"/>
      <c r="BI983" s="5"/>
      <c r="BJ983" s="7"/>
    </row>
    <row r="984" s="1" customFormat="true" ht="14.25" hidden="false" customHeight="false" outlineLevel="0" collapsed="false">
      <c r="G984" s="2"/>
      <c r="M984" s="2"/>
      <c r="Z984" s="3"/>
      <c r="AL984" s="4"/>
      <c r="AM984" s="5"/>
      <c r="AN984" s="5"/>
      <c r="AO984" s="5"/>
      <c r="AP984" s="5"/>
      <c r="AQ984" s="5"/>
      <c r="AR984" s="5"/>
      <c r="AS984" s="6"/>
      <c r="AU984" s="6"/>
      <c r="AW984" s="6"/>
      <c r="AY984" s="5"/>
      <c r="AZ984" s="5"/>
      <c r="BA984" s="5"/>
      <c r="BC984" s="6"/>
      <c r="BE984" s="6"/>
      <c r="BG984" s="6"/>
      <c r="BH984" s="5"/>
      <c r="BI984" s="5"/>
      <c r="BJ984" s="7"/>
    </row>
    <row r="985" s="1" customFormat="true" ht="14.25" hidden="false" customHeight="false" outlineLevel="0" collapsed="false">
      <c r="G985" s="2"/>
      <c r="M985" s="2"/>
      <c r="Z985" s="3"/>
      <c r="AL985" s="4"/>
      <c r="AM985" s="5"/>
      <c r="AN985" s="5"/>
      <c r="AO985" s="5"/>
      <c r="AP985" s="5"/>
      <c r="AQ985" s="5"/>
      <c r="AR985" s="5"/>
      <c r="AS985" s="6"/>
      <c r="AU985" s="6"/>
      <c r="AW985" s="6"/>
      <c r="AY985" s="5"/>
      <c r="AZ985" s="5"/>
      <c r="BA985" s="5"/>
      <c r="BC985" s="6"/>
      <c r="BE985" s="6"/>
      <c r="BG985" s="6"/>
      <c r="BH985" s="5"/>
      <c r="BI985" s="5"/>
      <c r="BJ985" s="7"/>
    </row>
    <row r="986" s="1" customFormat="true" ht="14.25" hidden="false" customHeight="false" outlineLevel="0" collapsed="false">
      <c r="G986" s="2"/>
      <c r="M986" s="2"/>
      <c r="Z986" s="3"/>
      <c r="AL986" s="4"/>
      <c r="AM986" s="5"/>
      <c r="AN986" s="5"/>
      <c r="AO986" s="5"/>
      <c r="AP986" s="5"/>
      <c r="AQ986" s="5"/>
      <c r="AR986" s="5"/>
      <c r="AS986" s="6"/>
      <c r="AU986" s="6"/>
      <c r="AW986" s="6"/>
      <c r="AY986" s="5"/>
      <c r="AZ986" s="5"/>
      <c r="BA986" s="5"/>
      <c r="BC986" s="6"/>
      <c r="BE986" s="6"/>
      <c r="BG986" s="6"/>
      <c r="BH986" s="5"/>
      <c r="BI986" s="5"/>
      <c r="BJ986" s="7"/>
    </row>
    <row r="987" s="1" customFormat="true" ht="14.25" hidden="false" customHeight="false" outlineLevel="0" collapsed="false">
      <c r="G987" s="2"/>
      <c r="M987" s="2"/>
      <c r="Z987" s="3"/>
      <c r="AL987" s="4"/>
      <c r="AM987" s="5"/>
      <c r="AN987" s="5"/>
      <c r="AO987" s="5"/>
      <c r="AP987" s="5"/>
      <c r="AQ987" s="5"/>
      <c r="AR987" s="5"/>
      <c r="AS987" s="6"/>
      <c r="AU987" s="6"/>
      <c r="AW987" s="6"/>
      <c r="AY987" s="5"/>
      <c r="AZ987" s="5"/>
      <c r="BA987" s="5"/>
      <c r="BC987" s="6"/>
      <c r="BE987" s="6"/>
      <c r="BG987" s="6"/>
      <c r="BH987" s="5"/>
      <c r="BI987" s="5"/>
      <c r="BJ987" s="7"/>
    </row>
    <row r="988" s="1" customFormat="true" ht="14.25" hidden="false" customHeight="false" outlineLevel="0" collapsed="false">
      <c r="G988" s="2"/>
      <c r="M988" s="2"/>
      <c r="Z988" s="3"/>
      <c r="AL988" s="4"/>
      <c r="AM988" s="5"/>
      <c r="AN988" s="5"/>
      <c r="AO988" s="5"/>
      <c r="AP988" s="5"/>
      <c r="AQ988" s="5"/>
      <c r="AR988" s="5"/>
      <c r="AS988" s="6"/>
      <c r="AU988" s="6"/>
      <c r="AW988" s="6"/>
      <c r="AY988" s="5"/>
      <c r="AZ988" s="5"/>
      <c r="BA988" s="5"/>
      <c r="BC988" s="6"/>
      <c r="BE988" s="6"/>
      <c r="BG988" s="6"/>
      <c r="BH988" s="5"/>
      <c r="BI988" s="5"/>
      <c r="BJ988" s="7"/>
    </row>
    <row r="989" s="1" customFormat="true" ht="14.25" hidden="false" customHeight="false" outlineLevel="0" collapsed="false">
      <c r="G989" s="2"/>
      <c r="M989" s="2"/>
      <c r="Z989" s="3"/>
      <c r="AL989" s="4"/>
      <c r="AM989" s="5"/>
      <c r="AN989" s="5"/>
      <c r="AO989" s="5"/>
      <c r="AP989" s="5"/>
      <c r="AQ989" s="5"/>
      <c r="AR989" s="5"/>
      <c r="AS989" s="6"/>
      <c r="AU989" s="6"/>
      <c r="AW989" s="6"/>
      <c r="AY989" s="5"/>
      <c r="AZ989" s="5"/>
      <c r="BA989" s="5"/>
      <c r="BC989" s="6"/>
      <c r="BE989" s="6"/>
      <c r="BG989" s="6"/>
      <c r="BH989" s="5"/>
      <c r="BI989" s="5"/>
      <c r="BJ989" s="7"/>
    </row>
    <row r="990" s="1" customFormat="true" ht="14.25" hidden="false" customHeight="false" outlineLevel="0" collapsed="false">
      <c r="G990" s="2"/>
      <c r="M990" s="2"/>
      <c r="Z990" s="3"/>
      <c r="AL990" s="4"/>
      <c r="AM990" s="5"/>
      <c r="AN990" s="5"/>
      <c r="AO990" s="5"/>
      <c r="AP990" s="5"/>
      <c r="AQ990" s="5"/>
      <c r="AR990" s="5"/>
      <c r="AS990" s="6"/>
      <c r="AU990" s="6"/>
      <c r="AW990" s="6"/>
      <c r="AY990" s="5"/>
      <c r="AZ990" s="5"/>
      <c r="BA990" s="5"/>
      <c r="BC990" s="6"/>
      <c r="BE990" s="6"/>
      <c r="BG990" s="6"/>
      <c r="BH990" s="5"/>
      <c r="BI990" s="5"/>
      <c r="BJ990" s="7"/>
    </row>
    <row r="991" s="1" customFormat="true" ht="14.25" hidden="false" customHeight="false" outlineLevel="0" collapsed="false">
      <c r="G991" s="2"/>
      <c r="M991" s="2"/>
      <c r="Z991" s="3"/>
      <c r="AL991" s="4"/>
      <c r="AM991" s="5"/>
      <c r="AN991" s="5"/>
      <c r="AO991" s="5"/>
      <c r="AP991" s="5"/>
      <c r="AQ991" s="5"/>
      <c r="AR991" s="5"/>
      <c r="AS991" s="6"/>
      <c r="AU991" s="6"/>
      <c r="AW991" s="6"/>
      <c r="AY991" s="5"/>
      <c r="AZ991" s="5"/>
      <c r="BA991" s="5"/>
      <c r="BC991" s="6"/>
      <c r="BE991" s="6"/>
      <c r="BG991" s="6"/>
      <c r="BH991" s="5"/>
      <c r="BI991" s="5"/>
      <c r="BJ991" s="7"/>
    </row>
    <row r="992" s="1" customFormat="true" ht="14.25" hidden="false" customHeight="false" outlineLevel="0" collapsed="false">
      <c r="G992" s="2"/>
      <c r="M992" s="2"/>
      <c r="Z992" s="3"/>
      <c r="AL992" s="4"/>
      <c r="AM992" s="5"/>
      <c r="AN992" s="5"/>
      <c r="AO992" s="5"/>
      <c r="AP992" s="5"/>
      <c r="AQ992" s="5"/>
      <c r="AR992" s="5"/>
      <c r="AS992" s="6"/>
      <c r="AU992" s="6"/>
      <c r="AW992" s="6"/>
      <c r="AY992" s="5"/>
      <c r="AZ992" s="5"/>
      <c r="BA992" s="5"/>
      <c r="BC992" s="6"/>
      <c r="BE992" s="6"/>
      <c r="BG992" s="6"/>
      <c r="BH992" s="5"/>
      <c r="BI992" s="5"/>
      <c r="BJ992" s="7"/>
    </row>
    <row r="993" s="1" customFormat="true" ht="14.25" hidden="false" customHeight="false" outlineLevel="0" collapsed="false">
      <c r="G993" s="2"/>
      <c r="M993" s="2"/>
      <c r="Z993" s="3"/>
      <c r="AL993" s="4"/>
      <c r="AM993" s="5"/>
      <c r="AN993" s="5"/>
      <c r="AO993" s="5"/>
      <c r="AP993" s="5"/>
      <c r="AQ993" s="5"/>
      <c r="AR993" s="5"/>
      <c r="AS993" s="6"/>
      <c r="AU993" s="6"/>
      <c r="AW993" s="6"/>
      <c r="AY993" s="5"/>
      <c r="AZ993" s="5"/>
      <c r="BA993" s="5"/>
      <c r="BC993" s="6"/>
      <c r="BE993" s="6"/>
      <c r="BG993" s="6"/>
      <c r="BH993" s="5"/>
      <c r="BI993" s="5"/>
      <c r="BJ993" s="7"/>
    </row>
    <row r="994" s="1" customFormat="true" ht="14.25" hidden="false" customHeight="false" outlineLevel="0" collapsed="false">
      <c r="G994" s="2"/>
      <c r="M994" s="2"/>
      <c r="Z994" s="3"/>
      <c r="AL994" s="4"/>
      <c r="AM994" s="5"/>
      <c r="AN994" s="5"/>
      <c r="AO994" s="5"/>
      <c r="AP994" s="5"/>
      <c r="AQ994" s="5"/>
      <c r="AR994" s="5"/>
      <c r="AS994" s="6"/>
      <c r="AU994" s="6"/>
      <c r="AW994" s="6"/>
      <c r="AY994" s="5"/>
      <c r="AZ994" s="5"/>
      <c r="BA994" s="5"/>
      <c r="BC994" s="6"/>
      <c r="BE994" s="6"/>
      <c r="BG994" s="6"/>
      <c r="BH994" s="5"/>
      <c r="BI994" s="5"/>
      <c r="BJ994" s="7"/>
    </row>
    <row r="995" s="1" customFormat="true" ht="14.25" hidden="false" customHeight="false" outlineLevel="0" collapsed="false">
      <c r="G995" s="2"/>
      <c r="M995" s="2"/>
      <c r="Z995" s="3"/>
      <c r="AL995" s="4"/>
      <c r="AM995" s="5"/>
      <c r="AN995" s="5"/>
      <c r="AO995" s="5"/>
      <c r="AP995" s="5"/>
      <c r="AQ995" s="5"/>
      <c r="AR995" s="5"/>
      <c r="AS995" s="6"/>
      <c r="AU995" s="6"/>
      <c r="AW995" s="6"/>
      <c r="AY995" s="5"/>
      <c r="AZ995" s="5"/>
      <c r="BA995" s="5"/>
      <c r="BC995" s="6"/>
      <c r="BE995" s="6"/>
      <c r="BG995" s="6"/>
      <c r="BH995" s="5"/>
      <c r="BI995" s="5"/>
      <c r="BJ995" s="7"/>
    </row>
    <row r="996" s="1" customFormat="true" ht="14.25" hidden="false" customHeight="false" outlineLevel="0" collapsed="false">
      <c r="G996" s="2"/>
      <c r="M996" s="2"/>
      <c r="Z996" s="3"/>
      <c r="AL996" s="4"/>
      <c r="AM996" s="5"/>
      <c r="AN996" s="5"/>
      <c r="AO996" s="5"/>
      <c r="AP996" s="5"/>
      <c r="AQ996" s="5"/>
      <c r="AR996" s="5"/>
      <c r="AS996" s="6"/>
      <c r="AU996" s="6"/>
      <c r="AW996" s="6"/>
      <c r="AY996" s="5"/>
      <c r="AZ996" s="5"/>
      <c r="BA996" s="5"/>
      <c r="BC996" s="6"/>
      <c r="BE996" s="6"/>
      <c r="BG996" s="6"/>
      <c r="BH996" s="5"/>
      <c r="BI996" s="5"/>
      <c r="BJ996" s="7"/>
    </row>
    <row r="997" s="1" customFormat="true" ht="14.25" hidden="false" customHeight="false" outlineLevel="0" collapsed="false">
      <c r="G997" s="2"/>
      <c r="M997" s="2"/>
      <c r="Z997" s="3"/>
      <c r="AL997" s="4"/>
      <c r="AM997" s="5"/>
      <c r="AN997" s="5"/>
      <c r="AO997" s="5"/>
      <c r="AP997" s="5"/>
      <c r="AQ997" s="5"/>
      <c r="AR997" s="5"/>
      <c r="AS997" s="6"/>
      <c r="AU997" s="6"/>
      <c r="AW997" s="6"/>
      <c r="AY997" s="5"/>
      <c r="AZ997" s="5"/>
      <c r="BA997" s="5"/>
      <c r="BC997" s="6"/>
      <c r="BE997" s="6"/>
      <c r="BG997" s="6"/>
      <c r="BH997" s="5"/>
      <c r="BI997" s="5"/>
      <c r="BJ997" s="7"/>
    </row>
    <row r="998" s="1" customFormat="true" ht="14.25" hidden="false" customHeight="false" outlineLevel="0" collapsed="false">
      <c r="G998" s="2"/>
      <c r="M998" s="2"/>
      <c r="Z998" s="3"/>
      <c r="AL998" s="4"/>
      <c r="AM998" s="5"/>
      <c r="AN998" s="5"/>
      <c r="AO998" s="5"/>
      <c r="AP998" s="5"/>
      <c r="AQ998" s="5"/>
      <c r="AR998" s="5"/>
      <c r="AS998" s="6"/>
      <c r="AU998" s="6"/>
      <c r="AW998" s="6"/>
      <c r="AY998" s="5"/>
      <c r="AZ998" s="5"/>
      <c r="BA998" s="5"/>
      <c r="BC998" s="6"/>
      <c r="BE998" s="6"/>
      <c r="BG998" s="6"/>
      <c r="BH998" s="5"/>
      <c r="BI998" s="5"/>
      <c r="BJ998" s="7"/>
    </row>
    <row r="999" s="1" customFormat="true" ht="14.25" hidden="false" customHeight="false" outlineLevel="0" collapsed="false">
      <c r="G999" s="2"/>
      <c r="M999" s="2"/>
      <c r="Z999" s="3"/>
      <c r="AL999" s="4"/>
      <c r="AM999" s="5"/>
      <c r="AN999" s="5"/>
      <c r="AO999" s="5"/>
      <c r="AP999" s="5"/>
      <c r="AQ999" s="5"/>
      <c r="AR999" s="5"/>
      <c r="AS999" s="6"/>
      <c r="AU999" s="6"/>
      <c r="AW999" s="6"/>
      <c r="AY999" s="5"/>
      <c r="AZ999" s="5"/>
      <c r="BA999" s="5"/>
      <c r="BC999" s="6"/>
      <c r="BE999" s="6"/>
      <c r="BG999" s="6"/>
      <c r="BH999" s="5"/>
      <c r="BI999" s="5"/>
      <c r="BJ999" s="7"/>
    </row>
    <row r="1000" s="1" customFormat="true" ht="14.25" hidden="false" customHeight="false" outlineLevel="0" collapsed="false">
      <c r="G1000" s="2"/>
      <c r="M1000" s="2"/>
      <c r="Z1000" s="3"/>
      <c r="AL1000" s="4"/>
      <c r="AM1000" s="5"/>
      <c r="AN1000" s="5"/>
      <c r="AO1000" s="5"/>
      <c r="AP1000" s="5"/>
      <c r="AQ1000" s="5"/>
      <c r="AR1000" s="5"/>
      <c r="AS1000" s="6"/>
      <c r="AU1000" s="6"/>
      <c r="AW1000" s="6"/>
      <c r="AY1000" s="5"/>
      <c r="AZ1000" s="5"/>
      <c r="BA1000" s="5"/>
      <c r="BC1000" s="6"/>
      <c r="BE1000" s="6"/>
      <c r="BG1000" s="6"/>
      <c r="BH1000" s="5"/>
      <c r="BI1000" s="5"/>
      <c r="BJ1000" s="7"/>
    </row>
    <row r="1001" s="1" customFormat="true" ht="14.25" hidden="false" customHeight="false" outlineLevel="0" collapsed="false">
      <c r="G1001" s="2"/>
      <c r="M1001" s="2"/>
      <c r="Z1001" s="3"/>
      <c r="AL1001" s="4"/>
      <c r="AM1001" s="5"/>
      <c r="AN1001" s="5"/>
      <c r="AO1001" s="5"/>
      <c r="AP1001" s="5"/>
      <c r="AQ1001" s="5"/>
      <c r="AR1001" s="5"/>
      <c r="AS1001" s="6"/>
      <c r="AU1001" s="6"/>
      <c r="AW1001" s="6"/>
      <c r="AY1001" s="5"/>
      <c r="AZ1001" s="5"/>
      <c r="BA1001" s="5"/>
      <c r="BC1001" s="6"/>
      <c r="BE1001" s="6"/>
      <c r="BG1001" s="6"/>
      <c r="BH1001" s="5"/>
      <c r="BI1001" s="5"/>
      <c r="BJ1001" s="7"/>
    </row>
    <row r="1002" s="1" customFormat="true" ht="14.25" hidden="false" customHeight="false" outlineLevel="0" collapsed="false">
      <c r="G1002" s="2"/>
      <c r="M1002" s="2"/>
      <c r="Z1002" s="3"/>
      <c r="AL1002" s="4"/>
      <c r="AM1002" s="5"/>
      <c r="AN1002" s="5"/>
      <c r="AO1002" s="5"/>
      <c r="AP1002" s="5"/>
      <c r="AQ1002" s="5"/>
      <c r="AR1002" s="5"/>
      <c r="AS1002" s="6"/>
      <c r="AU1002" s="6"/>
      <c r="AW1002" s="6"/>
      <c r="AY1002" s="5"/>
      <c r="AZ1002" s="5"/>
      <c r="BA1002" s="5"/>
      <c r="BC1002" s="6"/>
      <c r="BE1002" s="6"/>
      <c r="BG1002" s="6"/>
      <c r="BH1002" s="5"/>
      <c r="BI1002" s="5"/>
      <c r="BJ1002" s="7"/>
    </row>
    <row r="1003" s="1" customFormat="true" ht="14.25" hidden="false" customHeight="false" outlineLevel="0" collapsed="false">
      <c r="G1003" s="2"/>
      <c r="M1003" s="2"/>
      <c r="Z1003" s="3"/>
      <c r="AL1003" s="4"/>
      <c r="AM1003" s="5"/>
      <c r="AN1003" s="5"/>
      <c r="AO1003" s="5"/>
      <c r="AP1003" s="5"/>
      <c r="AQ1003" s="5"/>
      <c r="AR1003" s="5"/>
      <c r="AS1003" s="6"/>
      <c r="AU1003" s="6"/>
      <c r="AW1003" s="6"/>
      <c r="AY1003" s="5"/>
      <c r="AZ1003" s="5"/>
      <c r="BA1003" s="5"/>
      <c r="BC1003" s="6"/>
      <c r="BE1003" s="6"/>
      <c r="BG1003" s="6"/>
      <c r="BH1003" s="5"/>
      <c r="BI1003" s="5"/>
      <c r="BJ1003" s="7"/>
    </row>
    <row r="1004" s="1" customFormat="true" ht="14.25" hidden="false" customHeight="false" outlineLevel="0" collapsed="false">
      <c r="G1004" s="2"/>
      <c r="M1004" s="2"/>
      <c r="Z1004" s="3"/>
      <c r="AL1004" s="4"/>
      <c r="AM1004" s="5"/>
      <c r="AN1004" s="5"/>
      <c r="AO1004" s="5"/>
      <c r="AP1004" s="5"/>
      <c r="AQ1004" s="5"/>
      <c r="AR1004" s="5"/>
      <c r="AS1004" s="6"/>
      <c r="AU1004" s="6"/>
      <c r="AW1004" s="6"/>
      <c r="AY1004" s="5"/>
      <c r="AZ1004" s="5"/>
      <c r="BA1004" s="5"/>
      <c r="BC1004" s="6"/>
      <c r="BE1004" s="6"/>
      <c r="BG1004" s="6"/>
      <c r="BH1004" s="5"/>
      <c r="BI1004" s="5"/>
      <c r="BJ1004" s="7"/>
    </row>
    <row r="1005" s="1" customFormat="true" ht="14.25" hidden="false" customHeight="false" outlineLevel="0" collapsed="false">
      <c r="G1005" s="2"/>
      <c r="M1005" s="2"/>
      <c r="Z1005" s="3"/>
      <c r="AL1005" s="4"/>
      <c r="AM1005" s="5"/>
      <c r="AN1005" s="5"/>
      <c r="AO1005" s="5"/>
      <c r="AP1005" s="5"/>
      <c r="AQ1005" s="5"/>
      <c r="AR1005" s="5"/>
      <c r="AS1005" s="6"/>
      <c r="AU1005" s="6"/>
      <c r="AW1005" s="6"/>
      <c r="AY1005" s="5"/>
      <c r="AZ1005" s="5"/>
      <c r="BA1005" s="5"/>
      <c r="BC1005" s="6"/>
      <c r="BE1005" s="6"/>
      <c r="BG1005" s="6"/>
      <c r="BH1005" s="5"/>
      <c r="BI1005" s="5"/>
      <c r="BJ1005" s="7"/>
    </row>
    <row r="1006" s="1" customFormat="true" ht="14.25" hidden="false" customHeight="false" outlineLevel="0" collapsed="false">
      <c r="G1006" s="2"/>
      <c r="M1006" s="2"/>
      <c r="Z1006" s="3"/>
      <c r="AL1006" s="4"/>
      <c r="AM1006" s="5"/>
      <c r="AN1006" s="5"/>
      <c r="AO1006" s="5"/>
      <c r="AP1006" s="5"/>
      <c r="AQ1006" s="5"/>
      <c r="AR1006" s="5"/>
      <c r="AS1006" s="6"/>
      <c r="AU1006" s="6"/>
      <c r="AW1006" s="6"/>
      <c r="AY1006" s="5"/>
      <c r="AZ1006" s="5"/>
      <c r="BA1006" s="5"/>
      <c r="BC1006" s="6"/>
      <c r="BE1006" s="6"/>
      <c r="BG1006" s="6"/>
      <c r="BH1006" s="5"/>
      <c r="BI1006" s="5"/>
      <c r="BJ1006" s="7"/>
    </row>
    <row r="1007" s="1" customFormat="true" ht="14.25" hidden="false" customHeight="false" outlineLevel="0" collapsed="false">
      <c r="G1007" s="2"/>
      <c r="M1007" s="2"/>
      <c r="Z1007" s="3"/>
      <c r="AL1007" s="4"/>
      <c r="AM1007" s="5"/>
      <c r="AN1007" s="5"/>
      <c r="AO1007" s="5"/>
      <c r="AP1007" s="5"/>
      <c r="AQ1007" s="5"/>
      <c r="AR1007" s="5"/>
      <c r="AS1007" s="6"/>
      <c r="AU1007" s="6"/>
      <c r="AW1007" s="6"/>
      <c r="AY1007" s="5"/>
      <c r="AZ1007" s="5"/>
      <c r="BA1007" s="5"/>
      <c r="BC1007" s="6"/>
      <c r="BE1007" s="6"/>
      <c r="BG1007" s="6"/>
      <c r="BH1007" s="5"/>
      <c r="BI1007" s="5"/>
      <c r="BJ1007" s="7"/>
    </row>
    <row r="1008" s="1" customFormat="true" ht="14.25" hidden="false" customHeight="false" outlineLevel="0" collapsed="false">
      <c r="G1008" s="2"/>
      <c r="M1008" s="2"/>
      <c r="Z1008" s="3"/>
      <c r="AL1008" s="4"/>
      <c r="AM1008" s="5"/>
      <c r="AN1008" s="5"/>
      <c r="AO1008" s="5"/>
      <c r="AP1008" s="5"/>
      <c r="AQ1008" s="5"/>
      <c r="AR1008" s="5"/>
      <c r="AS1008" s="6"/>
      <c r="AU1008" s="6"/>
      <c r="AW1008" s="6"/>
      <c r="AY1008" s="5"/>
      <c r="AZ1008" s="5"/>
      <c r="BA1008" s="5"/>
      <c r="BC1008" s="6"/>
      <c r="BE1008" s="6"/>
      <c r="BG1008" s="6"/>
      <c r="BH1008" s="5"/>
      <c r="BI1008" s="5"/>
      <c r="BJ1008" s="7"/>
    </row>
    <row r="1009" s="1" customFormat="true" ht="14.25" hidden="false" customHeight="false" outlineLevel="0" collapsed="false">
      <c r="G1009" s="2"/>
      <c r="M1009" s="2"/>
      <c r="Z1009" s="3"/>
      <c r="AL1009" s="4"/>
      <c r="AM1009" s="5"/>
      <c r="AN1009" s="5"/>
      <c r="AO1009" s="5"/>
      <c r="AP1009" s="5"/>
      <c r="AQ1009" s="5"/>
      <c r="AR1009" s="5"/>
      <c r="AS1009" s="6"/>
      <c r="AU1009" s="6"/>
      <c r="AW1009" s="6"/>
      <c r="AY1009" s="5"/>
      <c r="AZ1009" s="5"/>
      <c r="BA1009" s="5"/>
      <c r="BC1009" s="6"/>
      <c r="BE1009" s="6"/>
      <c r="BG1009" s="6"/>
      <c r="BH1009" s="5"/>
      <c r="BI1009" s="5"/>
      <c r="BJ1009" s="7"/>
    </row>
    <row r="1010" s="1" customFormat="true" ht="14.25" hidden="false" customHeight="false" outlineLevel="0" collapsed="false">
      <c r="G1010" s="2"/>
      <c r="M1010" s="2"/>
      <c r="Z1010" s="3"/>
      <c r="AL1010" s="4"/>
      <c r="AM1010" s="5"/>
      <c r="AN1010" s="5"/>
      <c r="AO1010" s="5"/>
      <c r="AP1010" s="5"/>
      <c r="AQ1010" s="5"/>
      <c r="AR1010" s="5"/>
      <c r="AS1010" s="6"/>
      <c r="AU1010" s="6"/>
      <c r="AW1010" s="6"/>
      <c r="AY1010" s="5"/>
      <c r="AZ1010" s="5"/>
      <c r="BA1010" s="5"/>
      <c r="BC1010" s="6"/>
      <c r="BE1010" s="6"/>
      <c r="BG1010" s="6"/>
      <c r="BH1010" s="5"/>
      <c r="BI1010" s="5"/>
      <c r="BJ1010" s="7"/>
    </row>
    <row r="1011" s="1" customFormat="true" ht="14.25" hidden="false" customHeight="false" outlineLevel="0" collapsed="false">
      <c r="G1011" s="2"/>
      <c r="M1011" s="2"/>
      <c r="Z1011" s="3"/>
      <c r="AL1011" s="4"/>
      <c r="AM1011" s="5"/>
      <c r="AN1011" s="5"/>
      <c r="AO1011" s="5"/>
      <c r="AP1011" s="5"/>
      <c r="AQ1011" s="5"/>
      <c r="AR1011" s="5"/>
      <c r="AS1011" s="6"/>
      <c r="AU1011" s="6"/>
      <c r="AW1011" s="6"/>
      <c r="AY1011" s="5"/>
      <c r="AZ1011" s="5"/>
      <c r="BA1011" s="5"/>
      <c r="BC1011" s="6"/>
      <c r="BE1011" s="6"/>
      <c r="BG1011" s="6"/>
      <c r="BH1011" s="5"/>
      <c r="BI1011" s="5"/>
      <c r="BJ1011" s="7"/>
    </row>
    <row r="1012" s="1" customFormat="true" ht="14.25" hidden="false" customHeight="false" outlineLevel="0" collapsed="false">
      <c r="G1012" s="2"/>
      <c r="M1012" s="2"/>
      <c r="Z1012" s="3"/>
      <c r="AL1012" s="4"/>
      <c r="AM1012" s="5"/>
      <c r="AN1012" s="5"/>
      <c r="AO1012" s="5"/>
      <c r="AP1012" s="5"/>
      <c r="AQ1012" s="5"/>
      <c r="AR1012" s="5"/>
      <c r="AS1012" s="6"/>
      <c r="AU1012" s="6"/>
      <c r="AW1012" s="6"/>
      <c r="AY1012" s="5"/>
      <c r="AZ1012" s="5"/>
      <c r="BA1012" s="5"/>
      <c r="BC1012" s="6"/>
      <c r="BE1012" s="6"/>
      <c r="BG1012" s="6"/>
      <c r="BH1012" s="5"/>
      <c r="BI1012" s="5"/>
      <c r="BJ1012" s="7"/>
    </row>
    <row r="1013" s="1" customFormat="true" ht="14.25" hidden="false" customHeight="false" outlineLevel="0" collapsed="false">
      <c r="G1013" s="2"/>
      <c r="M1013" s="2"/>
      <c r="Z1013" s="3"/>
      <c r="AL1013" s="4"/>
      <c r="AM1013" s="5"/>
      <c r="AN1013" s="5"/>
      <c r="AO1013" s="5"/>
      <c r="AP1013" s="5"/>
      <c r="AQ1013" s="5"/>
      <c r="AR1013" s="5"/>
      <c r="AS1013" s="6"/>
      <c r="AU1013" s="6"/>
      <c r="AW1013" s="6"/>
      <c r="AY1013" s="5"/>
      <c r="AZ1013" s="5"/>
      <c r="BA1013" s="5"/>
      <c r="BC1013" s="6"/>
      <c r="BE1013" s="6"/>
      <c r="BG1013" s="6"/>
      <c r="BH1013" s="5"/>
      <c r="BI1013" s="5"/>
      <c r="BJ1013" s="7"/>
    </row>
    <row r="1014" s="1" customFormat="true" ht="14.25" hidden="false" customHeight="false" outlineLevel="0" collapsed="false">
      <c r="G1014" s="2"/>
      <c r="M1014" s="2"/>
      <c r="Z1014" s="3"/>
      <c r="AL1014" s="4"/>
      <c r="AM1014" s="5"/>
      <c r="AN1014" s="5"/>
      <c r="AO1014" s="5"/>
      <c r="AP1014" s="5"/>
      <c r="AQ1014" s="5"/>
      <c r="AR1014" s="5"/>
      <c r="AS1014" s="6"/>
      <c r="AU1014" s="6"/>
      <c r="AW1014" s="6"/>
      <c r="AY1014" s="5"/>
      <c r="AZ1014" s="5"/>
      <c r="BA1014" s="5"/>
      <c r="BC1014" s="6"/>
      <c r="BE1014" s="6"/>
      <c r="BG1014" s="6"/>
      <c r="BH1014" s="5"/>
      <c r="BI1014" s="5"/>
      <c r="BJ1014" s="7"/>
    </row>
    <row r="1015" s="1" customFormat="true" ht="14.25" hidden="false" customHeight="false" outlineLevel="0" collapsed="false">
      <c r="G1015" s="2"/>
      <c r="M1015" s="2"/>
      <c r="Z1015" s="3"/>
      <c r="AL1015" s="4"/>
      <c r="AM1015" s="5"/>
      <c r="AN1015" s="5"/>
      <c r="AO1015" s="5"/>
      <c r="AP1015" s="5"/>
      <c r="AQ1015" s="5"/>
      <c r="AR1015" s="5"/>
      <c r="AS1015" s="6"/>
      <c r="AU1015" s="6"/>
      <c r="AW1015" s="6"/>
      <c r="AY1015" s="5"/>
      <c r="AZ1015" s="5"/>
      <c r="BA1015" s="5"/>
      <c r="BC1015" s="6"/>
      <c r="BE1015" s="6"/>
      <c r="BG1015" s="6"/>
      <c r="BH1015" s="5"/>
      <c r="BI1015" s="5"/>
      <c r="BJ1015" s="7"/>
    </row>
    <row r="1016" s="1" customFormat="true" ht="14.25" hidden="false" customHeight="false" outlineLevel="0" collapsed="false">
      <c r="G1016" s="2"/>
      <c r="M1016" s="2"/>
      <c r="Z1016" s="3"/>
      <c r="AL1016" s="4"/>
      <c r="AM1016" s="5"/>
      <c r="AN1016" s="5"/>
      <c r="AO1016" s="5"/>
      <c r="AP1016" s="5"/>
      <c r="AQ1016" s="5"/>
      <c r="AR1016" s="5"/>
      <c r="AS1016" s="6"/>
      <c r="AU1016" s="6"/>
      <c r="AW1016" s="6"/>
      <c r="AY1016" s="5"/>
      <c r="AZ1016" s="5"/>
      <c r="BA1016" s="5"/>
      <c r="BC1016" s="6"/>
      <c r="BE1016" s="6"/>
      <c r="BG1016" s="6"/>
      <c r="BH1016" s="5"/>
      <c r="BI1016" s="5"/>
      <c r="BJ1016" s="7"/>
    </row>
    <row r="1017" s="1" customFormat="true" ht="14.25" hidden="false" customHeight="false" outlineLevel="0" collapsed="false">
      <c r="G1017" s="2"/>
      <c r="M1017" s="2"/>
      <c r="Z1017" s="3"/>
      <c r="AL1017" s="4"/>
      <c r="AM1017" s="5"/>
      <c r="AN1017" s="5"/>
      <c r="AO1017" s="5"/>
      <c r="AP1017" s="5"/>
      <c r="AQ1017" s="5"/>
      <c r="AR1017" s="5"/>
      <c r="AS1017" s="6"/>
      <c r="AU1017" s="6"/>
      <c r="AW1017" s="6"/>
      <c r="AY1017" s="5"/>
      <c r="AZ1017" s="5"/>
      <c r="BA1017" s="5"/>
      <c r="BC1017" s="6"/>
      <c r="BE1017" s="6"/>
      <c r="BG1017" s="6"/>
      <c r="BH1017" s="5"/>
      <c r="BI1017" s="5"/>
      <c r="BJ1017" s="7"/>
    </row>
    <row r="1018" s="1" customFormat="true" ht="14.25" hidden="false" customHeight="false" outlineLevel="0" collapsed="false">
      <c r="G1018" s="2"/>
      <c r="M1018" s="2"/>
      <c r="Z1018" s="3"/>
      <c r="AL1018" s="4"/>
      <c r="AM1018" s="5"/>
      <c r="AN1018" s="5"/>
      <c r="AO1018" s="5"/>
      <c r="AP1018" s="5"/>
      <c r="AQ1018" s="5"/>
      <c r="AR1018" s="5"/>
      <c r="AS1018" s="6"/>
      <c r="AU1018" s="6"/>
      <c r="AW1018" s="6"/>
      <c r="AY1018" s="5"/>
      <c r="AZ1018" s="5"/>
      <c r="BA1018" s="5"/>
      <c r="BC1018" s="6"/>
      <c r="BE1018" s="6"/>
      <c r="BG1018" s="6"/>
      <c r="BH1018" s="5"/>
      <c r="BI1018" s="5"/>
      <c r="BJ1018" s="7"/>
    </row>
    <row r="1019" s="1" customFormat="true" ht="14.25" hidden="false" customHeight="false" outlineLevel="0" collapsed="false">
      <c r="G1019" s="2"/>
      <c r="M1019" s="2"/>
      <c r="Z1019" s="3"/>
      <c r="AL1019" s="4"/>
      <c r="AM1019" s="5"/>
      <c r="AN1019" s="5"/>
      <c r="AO1019" s="5"/>
      <c r="AP1019" s="5"/>
      <c r="AQ1019" s="5"/>
      <c r="AR1019" s="5"/>
      <c r="AS1019" s="6"/>
      <c r="AU1019" s="6"/>
      <c r="AW1019" s="6"/>
      <c r="AY1019" s="5"/>
      <c r="AZ1019" s="5"/>
      <c r="BA1019" s="5"/>
      <c r="BC1019" s="6"/>
      <c r="BE1019" s="6"/>
      <c r="BG1019" s="6"/>
      <c r="BH1019" s="5"/>
      <c r="BI1019" s="5"/>
      <c r="BJ1019" s="7"/>
    </row>
    <row r="1020" s="1" customFormat="true" ht="14.25" hidden="false" customHeight="false" outlineLevel="0" collapsed="false">
      <c r="G1020" s="2"/>
      <c r="M1020" s="2"/>
      <c r="Z1020" s="3"/>
      <c r="AL1020" s="4"/>
      <c r="AM1020" s="5"/>
      <c r="AN1020" s="5"/>
      <c r="AO1020" s="5"/>
      <c r="AP1020" s="5"/>
      <c r="AQ1020" s="5"/>
      <c r="AR1020" s="5"/>
      <c r="AS1020" s="6"/>
      <c r="AU1020" s="6"/>
      <c r="AW1020" s="6"/>
      <c r="AY1020" s="5"/>
      <c r="AZ1020" s="5"/>
      <c r="BA1020" s="5"/>
      <c r="BC1020" s="6"/>
      <c r="BE1020" s="6"/>
      <c r="BG1020" s="6"/>
      <c r="BH1020" s="5"/>
      <c r="BI1020" s="5"/>
      <c r="BJ1020" s="7"/>
    </row>
    <row r="1021" s="1" customFormat="true" ht="14.25" hidden="false" customHeight="false" outlineLevel="0" collapsed="false">
      <c r="G1021" s="2"/>
      <c r="M1021" s="2"/>
      <c r="Z1021" s="3"/>
      <c r="AL1021" s="4"/>
      <c r="AM1021" s="5"/>
      <c r="AN1021" s="5"/>
      <c r="AO1021" s="5"/>
      <c r="AP1021" s="5"/>
      <c r="AQ1021" s="5"/>
      <c r="AR1021" s="5"/>
      <c r="AS1021" s="6"/>
      <c r="AU1021" s="6"/>
      <c r="AW1021" s="6"/>
      <c r="AY1021" s="5"/>
      <c r="AZ1021" s="5"/>
      <c r="BA1021" s="5"/>
      <c r="BC1021" s="6"/>
      <c r="BE1021" s="6"/>
      <c r="BG1021" s="6"/>
      <c r="BH1021" s="5"/>
      <c r="BI1021" s="5"/>
      <c r="BJ1021" s="7"/>
    </row>
    <row r="1022" s="1" customFormat="true" ht="14.25" hidden="false" customHeight="false" outlineLevel="0" collapsed="false">
      <c r="G1022" s="2"/>
      <c r="M1022" s="2"/>
      <c r="Z1022" s="3"/>
      <c r="AL1022" s="4"/>
      <c r="AM1022" s="5"/>
      <c r="AN1022" s="5"/>
      <c r="AO1022" s="5"/>
      <c r="AP1022" s="5"/>
      <c r="AQ1022" s="5"/>
      <c r="AR1022" s="5"/>
      <c r="AS1022" s="6"/>
      <c r="AU1022" s="6"/>
      <c r="AW1022" s="6"/>
      <c r="AY1022" s="5"/>
      <c r="AZ1022" s="5"/>
      <c r="BA1022" s="5"/>
      <c r="BC1022" s="6"/>
      <c r="BE1022" s="6"/>
      <c r="BG1022" s="6"/>
      <c r="BH1022" s="5"/>
      <c r="BI1022" s="5"/>
      <c r="BJ1022" s="7"/>
    </row>
    <row r="1023" s="1" customFormat="true" ht="14.25" hidden="false" customHeight="false" outlineLevel="0" collapsed="false">
      <c r="G1023" s="2"/>
      <c r="M1023" s="2"/>
      <c r="Z1023" s="3"/>
      <c r="AL1023" s="4"/>
      <c r="AM1023" s="5"/>
      <c r="AN1023" s="5"/>
      <c r="AO1023" s="5"/>
      <c r="AP1023" s="5"/>
      <c r="AQ1023" s="5"/>
      <c r="AR1023" s="5"/>
      <c r="AS1023" s="6"/>
      <c r="AU1023" s="6"/>
      <c r="AW1023" s="6"/>
      <c r="AY1023" s="5"/>
      <c r="AZ1023" s="5"/>
      <c r="BA1023" s="5"/>
      <c r="BC1023" s="6"/>
      <c r="BE1023" s="6"/>
      <c r="BG1023" s="6"/>
      <c r="BH1023" s="5"/>
      <c r="BI1023" s="5"/>
      <c r="BJ1023" s="7"/>
    </row>
    <row r="1024" s="1" customFormat="true" ht="14.25" hidden="false" customHeight="false" outlineLevel="0" collapsed="false">
      <c r="G1024" s="2"/>
      <c r="M1024" s="2"/>
      <c r="Z1024" s="3"/>
      <c r="AL1024" s="4"/>
      <c r="AM1024" s="5"/>
      <c r="AN1024" s="5"/>
      <c r="AO1024" s="5"/>
      <c r="AP1024" s="5"/>
      <c r="AQ1024" s="5"/>
      <c r="AR1024" s="5"/>
      <c r="AS1024" s="6"/>
      <c r="AU1024" s="6"/>
      <c r="AW1024" s="6"/>
      <c r="AY1024" s="5"/>
      <c r="AZ1024" s="5"/>
      <c r="BA1024" s="5"/>
      <c r="BC1024" s="6"/>
      <c r="BE1024" s="6"/>
      <c r="BG1024" s="6"/>
      <c r="BH1024" s="5"/>
      <c r="BI1024" s="5"/>
      <c r="BJ1024" s="7"/>
    </row>
    <row r="1025" s="1" customFormat="true" ht="14.25" hidden="false" customHeight="false" outlineLevel="0" collapsed="false">
      <c r="G1025" s="2"/>
      <c r="M1025" s="2"/>
      <c r="Z1025" s="3"/>
      <c r="AL1025" s="4"/>
      <c r="AM1025" s="5"/>
      <c r="AN1025" s="5"/>
      <c r="AO1025" s="5"/>
      <c r="AP1025" s="5"/>
      <c r="AQ1025" s="5"/>
      <c r="AR1025" s="5"/>
      <c r="AS1025" s="6"/>
      <c r="AU1025" s="6"/>
      <c r="AW1025" s="6"/>
      <c r="AY1025" s="5"/>
      <c r="AZ1025" s="5"/>
      <c r="BA1025" s="5"/>
      <c r="BC1025" s="6"/>
      <c r="BE1025" s="6"/>
      <c r="BG1025" s="6"/>
      <c r="BH1025" s="5"/>
      <c r="BI1025" s="5"/>
      <c r="BJ1025" s="7"/>
    </row>
    <row r="1026" s="1" customFormat="true" ht="14.25" hidden="false" customHeight="false" outlineLevel="0" collapsed="false">
      <c r="G1026" s="2"/>
      <c r="M1026" s="2"/>
      <c r="Z1026" s="3"/>
      <c r="AL1026" s="4"/>
      <c r="AM1026" s="5"/>
      <c r="AN1026" s="5"/>
      <c r="AO1026" s="5"/>
      <c r="AP1026" s="5"/>
      <c r="AQ1026" s="5"/>
      <c r="AR1026" s="5"/>
      <c r="AS1026" s="6"/>
      <c r="AU1026" s="6"/>
      <c r="AW1026" s="6"/>
      <c r="AY1026" s="5"/>
      <c r="AZ1026" s="5"/>
      <c r="BA1026" s="5"/>
      <c r="BC1026" s="6"/>
      <c r="BE1026" s="6"/>
      <c r="BG1026" s="6"/>
      <c r="BH1026" s="5"/>
      <c r="BI1026" s="5"/>
      <c r="BJ1026" s="7"/>
    </row>
    <row r="1027" s="1" customFormat="true" ht="14.25" hidden="false" customHeight="false" outlineLevel="0" collapsed="false">
      <c r="G1027" s="2"/>
      <c r="M1027" s="2"/>
      <c r="Z1027" s="3"/>
      <c r="AL1027" s="4"/>
      <c r="AM1027" s="5"/>
      <c r="AN1027" s="5"/>
      <c r="AO1027" s="5"/>
      <c r="AP1027" s="5"/>
      <c r="AQ1027" s="5"/>
      <c r="AR1027" s="5"/>
      <c r="AS1027" s="6"/>
      <c r="AU1027" s="6"/>
      <c r="AW1027" s="6"/>
      <c r="AY1027" s="5"/>
      <c r="AZ1027" s="5"/>
      <c r="BA1027" s="5"/>
      <c r="BC1027" s="6"/>
      <c r="BE1027" s="6"/>
      <c r="BG1027" s="6"/>
      <c r="BH1027" s="5"/>
      <c r="BI1027" s="5"/>
      <c r="BJ1027" s="7"/>
    </row>
    <row r="1028" s="1" customFormat="true" ht="14.25" hidden="false" customHeight="false" outlineLevel="0" collapsed="false">
      <c r="G1028" s="2"/>
      <c r="M1028" s="2"/>
      <c r="Z1028" s="3"/>
      <c r="AL1028" s="4"/>
      <c r="AM1028" s="5"/>
      <c r="AN1028" s="5"/>
      <c r="AO1028" s="5"/>
      <c r="AP1028" s="5"/>
      <c r="AQ1028" s="5"/>
      <c r="AR1028" s="5"/>
      <c r="AS1028" s="6"/>
      <c r="AU1028" s="6"/>
      <c r="AW1028" s="6"/>
      <c r="AY1028" s="5"/>
      <c r="AZ1028" s="5"/>
      <c r="BA1028" s="5"/>
      <c r="BC1028" s="6"/>
      <c r="BE1028" s="6"/>
      <c r="BG1028" s="6"/>
      <c r="BH1028" s="5"/>
      <c r="BI1028" s="5"/>
      <c r="BJ1028" s="7"/>
    </row>
    <row r="1029" s="1" customFormat="true" ht="14.25" hidden="false" customHeight="false" outlineLevel="0" collapsed="false">
      <c r="G1029" s="2"/>
      <c r="M1029" s="2"/>
      <c r="Z1029" s="3"/>
      <c r="AL1029" s="4"/>
      <c r="AM1029" s="5"/>
      <c r="AN1029" s="5"/>
      <c r="AO1029" s="5"/>
      <c r="AP1029" s="5"/>
      <c r="AQ1029" s="5"/>
      <c r="AR1029" s="5"/>
      <c r="AS1029" s="6"/>
      <c r="AU1029" s="6"/>
      <c r="AW1029" s="6"/>
      <c r="AY1029" s="5"/>
      <c r="AZ1029" s="5"/>
      <c r="BA1029" s="5"/>
      <c r="BC1029" s="6"/>
      <c r="BE1029" s="6"/>
      <c r="BG1029" s="6"/>
      <c r="BH1029" s="5"/>
      <c r="BI1029" s="5"/>
      <c r="BJ1029" s="7"/>
    </row>
    <row r="1030" s="1" customFormat="true" ht="14.25" hidden="false" customHeight="false" outlineLevel="0" collapsed="false">
      <c r="G1030" s="2"/>
      <c r="M1030" s="2"/>
      <c r="Z1030" s="3"/>
      <c r="AL1030" s="4"/>
      <c r="AM1030" s="5"/>
      <c r="AN1030" s="5"/>
      <c r="AO1030" s="5"/>
      <c r="AP1030" s="5"/>
      <c r="AQ1030" s="5"/>
      <c r="AR1030" s="5"/>
      <c r="AS1030" s="6"/>
      <c r="AU1030" s="6"/>
      <c r="AW1030" s="6"/>
      <c r="AY1030" s="5"/>
      <c r="AZ1030" s="5"/>
      <c r="BA1030" s="5"/>
      <c r="BC1030" s="6"/>
      <c r="BE1030" s="6"/>
      <c r="BG1030" s="6"/>
      <c r="BH1030" s="5"/>
      <c r="BI1030" s="5"/>
      <c r="BJ1030" s="7"/>
    </row>
    <row r="1031" s="1" customFormat="true" ht="14.25" hidden="false" customHeight="false" outlineLevel="0" collapsed="false">
      <c r="G1031" s="2"/>
      <c r="M1031" s="2"/>
      <c r="Z1031" s="3"/>
      <c r="AL1031" s="4"/>
      <c r="AM1031" s="5"/>
      <c r="AN1031" s="5"/>
      <c r="AO1031" s="5"/>
      <c r="AP1031" s="5"/>
      <c r="AQ1031" s="5"/>
      <c r="AR1031" s="5"/>
      <c r="AS1031" s="6"/>
      <c r="AU1031" s="6"/>
      <c r="AW1031" s="6"/>
      <c r="AY1031" s="5"/>
      <c r="AZ1031" s="5"/>
      <c r="BA1031" s="5"/>
      <c r="BC1031" s="6"/>
      <c r="BE1031" s="6"/>
      <c r="BG1031" s="6"/>
      <c r="BH1031" s="5"/>
      <c r="BI1031" s="5"/>
      <c r="BJ1031" s="7"/>
    </row>
    <row r="1032" s="1" customFormat="true" ht="14.25" hidden="false" customHeight="false" outlineLevel="0" collapsed="false">
      <c r="G1032" s="2"/>
      <c r="M1032" s="2"/>
      <c r="Z1032" s="3"/>
      <c r="AL1032" s="4"/>
      <c r="AM1032" s="5"/>
      <c r="AN1032" s="5"/>
      <c r="AO1032" s="5"/>
      <c r="AP1032" s="5"/>
      <c r="AQ1032" s="5"/>
      <c r="AR1032" s="5"/>
      <c r="AS1032" s="6"/>
      <c r="AU1032" s="6"/>
      <c r="AW1032" s="6"/>
      <c r="AY1032" s="5"/>
      <c r="AZ1032" s="5"/>
      <c r="BA1032" s="5"/>
      <c r="BC1032" s="6"/>
      <c r="BE1032" s="6"/>
      <c r="BG1032" s="6"/>
      <c r="BH1032" s="5"/>
      <c r="BI1032" s="5"/>
      <c r="BJ1032" s="7"/>
    </row>
    <row r="1033" s="1" customFormat="true" ht="14.25" hidden="false" customHeight="false" outlineLevel="0" collapsed="false">
      <c r="G1033" s="2"/>
      <c r="M1033" s="2"/>
      <c r="Z1033" s="3"/>
      <c r="AL1033" s="4"/>
      <c r="AM1033" s="5"/>
      <c r="AN1033" s="5"/>
      <c r="AO1033" s="5"/>
      <c r="AP1033" s="5"/>
      <c r="AQ1033" s="5"/>
      <c r="AR1033" s="5"/>
      <c r="AS1033" s="6"/>
      <c r="AU1033" s="6"/>
      <c r="AW1033" s="6"/>
      <c r="AY1033" s="5"/>
      <c r="AZ1033" s="5"/>
      <c r="BA1033" s="5"/>
      <c r="BC1033" s="6"/>
      <c r="BE1033" s="6"/>
      <c r="BG1033" s="6"/>
      <c r="BH1033" s="5"/>
      <c r="BI1033" s="5"/>
      <c r="BJ1033" s="7"/>
    </row>
    <row r="1034" s="1" customFormat="true" ht="14.25" hidden="false" customHeight="false" outlineLevel="0" collapsed="false">
      <c r="G1034" s="2"/>
      <c r="M1034" s="2"/>
      <c r="Z1034" s="3"/>
      <c r="AL1034" s="4"/>
      <c r="AM1034" s="5"/>
      <c r="AN1034" s="5"/>
      <c r="AO1034" s="5"/>
      <c r="AP1034" s="5"/>
      <c r="AQ1034" s="5"/>
      <c r="AR1034" s="5"/>
      <c r="AS1034" s="6"/>
      <c r="AU1034" s="6"/>
      <c r="AW1034" s="6"/>
      <c r="AY1034" s="5"/>
      <c r="AZ1034" s="5"/>
      <c r="BA1034" s="5"/>
      <c r="BC1034" s="6"/>
      <c r="BE1034" s="6"/>
      <c r="BG1034" s="6"/>
      <c r="BH1034" s="5"/>
      <c r="BI1034" s="5"/>
      <c r="BJ1034" s="7"/>
    </row>
    <row r="1035" s="1" customFormat="true" ht="14.25" hidden="false" customHeight="false" outlineLevel="0" collapsed="false">
      <c r="G1035" s="2"/>
      <c r="M1035" s="2"/>
      <c r="Z1035" s="3"/>
      <c r="AL1035" s="4"/>
      <c r="AM1035" s="5"/>
      <c r="AN1035" s="5"/>
      <c r="AO1035" s="5"/>
      <c r="AP1035" s="5"/>
      <c r="AQ1035" s="5"/>
      <c r="AR1035" s="5"/>
      <c r="AS1035" s="6"/>
      <c r="AU1035" s="6"/>
      <c r="AW1035" s="6"/>
      <c r="AY1035" s="5"/>
      <c r="AZ1035" s="5"/>
      <c r="BA1035" s="5"/>
      <c r="BC1035" s="6"/>
      <c r="BE1035" s="6"/>
      <c r="BG1035" s="6"/>
      <c r="BH1035" s="5"/>
      <c r="BI1035" s="5"/>
      <c r="BJ1035" s="7"/>
    </row>
    <row r="1036" s="1" customFormat="true" ht="14.25" hidden="false" customHeight="false" outlineLevel="0" collapsed="false">
      <c r="G1036" s="2"/>
      <c r="M1036" s="2"/>
      <c r="Z1036" s="3"/>
      <c r="AL1036" s="4"/>
      <c r="AM1036" s="5"/>
      <c r="AN1036" s="5"/>
      <c r="AO1036" s="5"/>
      <c r="AP1036" s="5"/>
      <c r="AQ1036" s="5"/>
      <c r="AR1036" s="5"/>
      <c r="AS1036" s="6"/>
      <c r="AU1036" s="6"/>
      <c r="AW1036" s="6"/>
      <c r="AY1036" s="5"/>
      <c r="AZ1036" s="5"/>
      <c r="BA1036" s="5"/>
      <c r="BC1036" s="6"/>
      <c r="BE1036" s="6"/>
      <c r="BG1036" s="6"/>
      <c r="BH1036" s="5"/>
      <c r="BI1036" s="5"/>
      <c r="BJ1036" s="7"/>
    </row>
    <row r="1037" s="1" customFormat="true" ht="14.25" hidden="false" customHeight="false" outlineLevel="0" collapsed="false">
      <c r="G1037" s="2"/>
      <c r="M1037" s="2"/>
      <c r="Z1037" s="3"/>
      <c r="AL1037" s="4"/>
      <c r="AM1037" s="5"/>
      <c r="AN1037" s="5"/>
      <c r="AO1037" s="5"/>
      <c r="AP1037" s="5"/>
      <c r="AQ1037" s="5"/>
      <c r="AR1037" s="5"/>
      <c r="AS1037" s="6"/>
      <c r="AU1037" s="6"/>
      <c r="AW1037" s="6"/>
      <c r="AY1037" s="5"/>
      <c r="AZ1037" s="5"/>
      <c r="BA1037" s="5"/>
      <c r="BC1037" s="6"/>
      <c r="BE1037" s="6"/>
      <c r="BG1037" s="6"/>
      <c r="BH1037" s="5"/>
      <c r="BI1037" s="5"/>
      <c r="BJ1037" s="7"/>
    </row>
    <row r="1038" s="1" customFormat="true" ht="14.25" hidden="false" customHeight="false" outlineLevel="0" collapsed="false">
      <c r="G1038" s="2"/>
      <c r="M1038" s="2"/>
      <c r="Z1038" s="3"/>
      <c r="AL1038" s="4"/>
      <c r="AM1038" s="5"/>
      <c r="AN1038" s="5"/>
      <c r="AO1038" s="5"/>
      <c r="AP1038" s="5"/>
      <c r="AQ1038" s="5"/>
      <c r="AR1038" s="5"/>
      <c r="AS1038" s="6"/>
      <c r="AU1038" s="6"/>
      <c r="AW1038" s="6"/>
      <c r="AY1038" s="5"/>
      <c r="AZ1038" s="5"/>
      <c r="BA1038" s="5"/>
      <c r="BC1038" s="6"/>
      <c r="BE1038" s="6"/>
      <c r="BG1038" s="6"/>
      <c r="BH1038" s="5"/>
      <c r="BI1038" s="5"/>
      <c r="BJ1038" s="7"/>
    </row>
    <row r="1039" s="1" customFormat="true" ht="14.25" hidden="false" customHeight="false" outlineLevel="0" collapsed="false">
      <c r="G1039" s="2"/>
      <c r="M1039" s="2"/>
      <c r="Z1039" s="3"/>
      <c r="AL1039" s="4"/>
      <c r="AM1039" s="5"/>
      <c r="AN1039" s="5"/>
      <c r="AO1039" s="5"/>
      <c r="AP1039" s="5"/>
      <c r="AQ1039" s="5"/>
      <c r="AR1039" s="5"/>
      <c r="AS1039" s="6"/>
      <c r="AU1039" s="6"/>
      <c r="AW1039" s="6"/>
      <c r="AY1039" s="5"/>
      <c r="AZ1039" s="5"/>
      <c r="BA1039" s="5"/>
      <c r="BC1039" s="6"/>
      <c r="BE1039" s="6"/>
      <c r="BG1039" s="6"/>
      <c r="BH1039" s="5"/>
      <c r="BI1039" s="5"/>
      <c r="BJ1039" s="7"/>
    </row>
    <row r="1040" s="1" customFormat="true" ht="14.25" hidden="false" customHeight="false" outlineLevel="0" collapsed="false">
      <c r="G1040" s="2"/>
      <c r="M1040" s="2"/>
      <c r="Z1040" s="3"/>
      <c r="AL1040" s="4"/>
      <c r="AM1040" s="5"/>
      <c r="AN1040" s="5"/>
      <c r="AO1040" s="5"/>
      <c r="AP1040" s="5"/>
      <c r="AQ1040" s="5"/>
      <c r="AR1040" s="5"/>
      <c r="AS1040" s="6"/>
      <c r="AU1040" s="6"/>
      <c r="AW1040" s="6"/>
      <c r="AY1040" s="5"/>
      <c r="AZ1040" s="5"/>
      <c r="BA1040" s="5"/>
      <c r="BC1040" s="6"/>
      <c r="BE1040" s="6"/>
      <c r="BG1040" s="6"/>
      <c r="BH1040" s="5"/>
      <c r="BI1040" s="5"/>
      <c r="BJ1040" s="7"/>
    </row>
    <row r="1041" s="1" customFormat="true" ht="14.25" hidden="false" customHeight="false" outlineLevel="0" collapsed="false">
      <c r="G1041" s="2"/>
      <c r="M1041" s="2"/>
      <c r="Z1041" s="3"/>
      <c r="AL1041" s="4"/>
      <c r="AM1041" s="5"/>
      <c r="AN1041" s="5"/>
      <c r="AO1041" s="5"/>
      <c r="AP1041" s="5"/>
      <c r="AQ1041" s="5"/>
      <c r="AR1041" s="5"/>
      <c r="AS1041" s="6"/>
      <c r="AU1041" s="6"/>
      <c r="AW1041" s="6"/>
      <c r="AY1041" s="5"/>
      <c r="AZ1041" s="5"/>
      <c r="BA1041" s="5"/>
      <c r="BC1041" s="6"/>
      <c r="BE1041" s="6"/>
      <c r="BG1041" s="6"/>
      <c r="BH1041" s="5"/>
      <c r="BI1041" s="5"/>
      <c r="BJ1041" s="7"/>
    </row>
    <row r="1042" s="1" customFormat="true" ht="14.25" hidden="false" customHeight="false" outlineLevel="0" collapsed="false">
      <c r="G1042" s="2"/>
      <c r="M1042" s="2"/>
      <c r="Z1042" s="3"/>
      <c r="AL1042" s="4"/>
      <c r="AM1042" s="5"/>
      <c r="AN1042" s="5"/>
      <c r="AO1042" s="5"/>
      <c r="AP1042" s="5"/>
      <c r="AQ1042" s="5"/>
      <c r="AR1042" s="5"/>
      <c r="AS1042" s="6"/>
      <c r="AU1042" s="6"/>
      <c r="AW1042" s="6"/>
      <c r="AY1042" s="5"/>
      <c r="AZ1042" s="5"/>
      <c r="BA1042" s="5"/>
      <c r="BC1042" s="6"/>
      <c r="BE1042" s="6"/>
      <c r="BG1042" s="6"/>
      <c r="BH1042" s="5"/>
      <c r="BI1042" s="5"/>
      <c r="BJ1042" s="7"/>
    </row>
    <row r="1043" s="1" customFormat="true" ht="14.25" hidden="false" customHeight="false" outlineLevel="0" collapsed="false">
      <c r="G1043" s="2"/>
      <c r="M1043" s="2"/>
      <c r="Z1043" s="3"/>
      <c r="AL1043" s="4"/>
      <c r="AM1043" s="5"/>
      <c r="AN1043" s="5"/>
      <c r="AO1043" s="5"/>
      <c r="AP1043" s="5"/>
      <c r="AQ1043" s="5"/>
      <c r="AR1043" s="5"/>
      <c r="AS1043" s="6"/>
      <c r="AU1043" s="6"/>
      <c r="AW1043" s="6"/>
      <c r="AY1043" s="5"/>
      <c r="AZ1043" s="5"/>
      <c r="BA1043" s="5"/>
      <c r="BC1043" s="6"/>
      <c r="BE1043" s="6"/>
      <c r="BG1043" s="6"/>
      <c r="BH1043" s="5"/>
      <c r="BI1043" s="5"/>
      <c r="BJ1043" s="7"/>
    </row>
    <row r="1044" s="1" customFormat="true" ht="14.25" hidden="false" customHeight="false" outlineLevel="0" collapsed="false">
      <c r="G1044" s="2"/>
      <c r="M1044" s="2"/>
      <c r="Z1044" s="3"/>
      <c r="AL1044" s="4"/>
      <c r="AM1044" s="5"/>
      <c r="AN1044" s="5"/>
      <c r="AO1044" s="5"/>
      <c r="AP1044" s="5"/>
      <c r="AQ1044" s="5"/>
      <c r="AR1044" s="5"/>
      <c r="AS1044" s="6"/>
      <c r="AU1044" s="6"/>
      <c r="AW1044" s="6"/>
      <c r="AY1044" s="5"/>
      <c r="AZ1044" s="5"/>
      <c r="BA1044" s="5"/>
      <c r="BC1044" s="6"/>
      <c r="BE1044" s="6"/>
      <c r="BG1044" s="6"/>
      <c r="BH1044" s="5"/>
      <c r="BI1044" s="5"/>
      <c r="BJ1044" s="7"/>
    </row>
    <row r="1045" s="1" customFormat="true" ht="14.25" hidden="false" customHeight="false" outlineLevel="0" collapsed="false">
      <c r="G1045" s="2"/>
      <c r="M1045" s="2"/>
      <c r="Z1045" s="3"/>
      <c r="AL1045" s="4"/>
      <c r="AM1045" s="5"/>
      <c r="AN1045" s="5"/>
      <c r="AO1045" s="5"/>
      <c r="AP1045" s="5"/>
      <c r="AQ1045" s="5"/>
      <c r="AR1045" s="5"/>
      <c r="AS1045" s="6"/>
      <c r="AU1045" s="6"/>
      <c r="AW1045" s="6"/>
      <c r="AY1045" s="5"/>
      <c r="AZ1045" s="5"/>
      <c r="BA1045" s="5"/>
      <c r="BC1045" s="6"/>
      <c r="BE1045" s="6"/>
      <c r="BG1045" s="6"/>
      <c r="BH1045" s="5"/>
      <c r="BI1045" s="5"/>
      <c r="BJ1045" s="7"/>
    </row>
    <row r="1046" s="1" customFormat="true" ht="14.25" hidden="false" customHeight="false" outlineLevel="0" collapsed="false">
      <c r="G1046" s="2"/>
      <c r="M1046" s="2"/>
      <c r="Z1046" s="3"/>
      <c r="AL1046" s="4"/>
      <c r="AM1046" s="5"/>
      <c r="AN1046" s="5"/>
      <c r="AO1046" s="5"/>
      <c r="AP1046" s="5"/>
      <c r="AQ1046" s="5"/>
      <c r="AR1046" s="5"/>
      <c r="AS1046" s="6"/>
      <c r="AU1046" s="6"/>
      <c r="AW1046" s="6"/>
      <c r="AY1046" s="5"/>
      <c r="AZ1046" s="5"/>
      <c r="BA1046" s="5"/>
      <c r="BC1046" s="6"/>
      <c r="BE1046" s="6"/>
      <c r="BG1046" s="6"/>
      <c r="BH1046" s="5"/>
      <c r="BI1046" s="5"/>
      <c r="BJ1046" s="7"/>
    </row>
    <row r="1047" s="1" customFormat="true" ht="14.25" hidden="false" customHeight="false" outlineLevel="0" collapsed="false">
      <c r="G1047" s="2"/>
      <c r="M1047" s="2"/>
      <c r="Z1047" s="3"/>
      <c r="AL1047" s="4"/>
      <c r="AM1047" s="5"/>
      <c r="AN1047" s="5"/>
      <c r="AO1047" s="5"/>
      <c r="AP1047" s="5"/>
      <c r="AQ1047" s="5"/>
      <c r="AR1047" s="5"/>
      <c r="AS1047" s="6"/>
      <c r="AU1047" s="6"/>
      <c r="AW1047" s="6"/>
      <c r="AY1047" s="5"/>
      <c r="AZ1047" s="5"/>
      <c r="BA1047" s="5"/>
      <c r="BC1047" s="6"/>
      <c r="BE1047" s="6"/>
      <c r="BG1047" s="6"/>
      <c r="BH1047" s="5"/>
      <c r="BI1047" s="5"/>
      <c r="BJ1047" s="7"/>
    </row>
    <row r="1048" s="1" customFormat="true" ht="14.25" hidden="false" customHeight="false" outlineLevel="0" collapsed="false">
      <c r="G1048" s="2"/>
      <c r="M1048" s="2"/>
      <c r="Z1048" s="3"/>
      <c r="AL1048" s="4"/>
      <c r="AM1048" s="5"/>
      <c r="AN1048" s="5"/>
      <c r="AO1048" s="5"/>
      <c r="AP1048" s="5"/>
      <c r="AQ1048" s="5"/>
      <c r="AR1048" s="5"/>
      <c r="AS1048" s="6"/>
      <c r="AU1048" s="6"/>
      <c r="AW1048" s="6"/>
      <c r="AY1048" s="5"/>
      <c r="AZ1048" s="5"/>
      <c r="BA1048" s="5"/>
      <c r="BC1048" s="6"/>
      <c r="BE1048" s="6"/>
      <c r="BG1048" s="6"/>
      <c r="BH1048" s="5"/>
      <c r="BI1048" s="5"/>
      <c r="BJ1048" s="7"/>
    </row>
    <row r="1049" s="1" customFormat="true" ht="14.25" hidden="false" customHeight="false" outlineLevel="0" collapsed="false">
      <c r="G1049" s="2"/>
      <c r="M1049" s="2"/>
      <c r="Z1049" s="3"/>
      <c r="AL1049" s="4"/>
      <c r="AM1049" s="5"/>
      <c r="AN1049" s="5"/>
      <c r="AO1049" s="5"/>
      <c r="AP1049" s="5"/>
      <c r="AQ1049" s="5"/>
      <c r="AR1049" s="5"/>
      <c r="AS1049" s="6"/>
      <c r="AU1049" s="6"/>
      <c r="AW1049" s="6"/>
      <c r="AY1049" s="5"/>
      <c r="AZ1049" s="5"/>
      <c r="BA1049" s="5"/>
      <c r="BC1049" s="6"/>
      <c r="BE1049" s="6"/>
      <c r="BG1049" s="6"/>
      <c r="BH1049" s="5"/>
      <c r="BI1049" s="5"/>
      <c r="BJ1049" s="7"/>
    </row>
    <row r="1050" s="1" customFormat="true" ht="14.25" hidden="false" customHeight="false" outlineLevel="0" collapsed="false">
      <c r="G1050" s="2"/>
      <c r="M1050" s="2"/>
      <c r="Z1050" s="3"/>
      <c r="AL1050" s="4"/>
      <c r="AM1050" s="5"/>
      <c r="AN1050" s="5"/>
      <c r="AO1050" s="5"/>
      <c r="AP1050" s="5"/>
      <c r="AQ1050" s="5"/>
      <c r="AR1050" s="5"/>
      <c r="AS1050" s="6"/>
      <c r="AU1050" s="6"/>
      <c r="AW1050" s="6"/>
      <c r="AY1050" s="5"/>
      <c r="AZ1050" s="5"/>
      <c r="BA1050" s="5"/>
      <c r="BC1050" s="6"/>
      <c r="BE1050" s="6"/>
      <c r="BG1050" s="6"/>
      <c r="BH1050" s="5"/>
      <c r="BI1050" s="5"/>
      <c r="BJ1050" s="7"/>
    </row>
    <row r="1051" s="1" customFormat="true" ht="14.25" hidden="false" customHeight="false" outlineLevel="0" collapsed="false">
      <c r="G1051" s="2"/>
      <c r="M1051" s="2"/>
      <c r="Z1051" s="3"/>
      <c r="AL1051" s="4"/>
      <c r="AM1051" s="5"/>
      <c r="AN1051" s="5"/>
      <c r="AO1051" s="5"/>
      <c r="AP1051" s="5"/>
      <c r="AQ1051" s="5"/>
      <c r="AR1051" s="5"/>
      <c r="AS1051" s="6"/>
      <c r="AU1051" s="6"/>
      <c r="AW1051" s="6"/>
      <c r="AY1051" s="5"/>
      <c r="AZ1051" s="5"/>
      <c r="BA1051" s="5"/>
      <c r="BC1051" s="6"/>
      <c r="BE1051" s="6"/>
      <c r="BG1051" s="6"/>
      <c r="BH1051" s="5"/>
      <c r="BI1051" s="5"/>
      <c r="BJ1051" s="7"/>
    </row>
    <row r="1052" s="1" customFormat="true" ht="14.25" hidden="false" customHeight="false" outlineLevel="0" collapsed="false">
      <c r="G1052" s="2"/>
      <c r="M1052" s="2"/>
      <c r="Z1052" s="3"/>
      <c r="AL1052" s="4"/>
      <c r="AM1052" s="5"/>
      <c r="AN1052" s="5"/>
      <c r="AO1052" s="5"/>
      <c r="AP1052" s="5"/>
      <c r="AQ1052" s="5"/>
      <c r="AR1052" s="5"/>
      <c r="AS1052" s="6"/>
      <c r="AU1052" s="6"/>
      <c r="AW1052" s="6"/>
      <c r="AY1052" s="5"/>
      <c r="AZ1052" s="5"/>
      <c r="BA1052" s="5"/>
      <c r="BC1052" s="6"/>
      <c r="BE1052" s="6"/>
      <c r="BG1052" s="6"/>
      <c r="BH1052" s="5"/>
      <c r="BI1052" s="5"/>
      <c r="BJ1052" s="7"/>
    </row>
    <row r="1053" s="1" customFormat="true" ht="14.25" hidden="false" customHeight="false" outlineLevel="0" collapsed="false">
      <c r="G1053" s="2"/>
      <c r="M1053" s="2"/>
      <c r="Z1053" s="3"/>
      <c r="AL1053" s="4"/>
      <c r="AM1053" s="5"/>
      <c r="AN1053" s="5"/>
      <c r="AO1053" s="5"/>
      <c r="AP1053" s="5"/>
      <c r="AQ1053" s="5"/>
      <c r="AR1053" s="5"/>
      <c r="AS1053" s="6"/>
      <c r="AU1053" s="6"/>
      <c r="AW1053" s="6"/>
      <c r="AY1053" s="5"/>
      <c r="AZ1053" s="5"/>
      <c r="BA1053" s="5"/>
      <c r="BC1053" s="6"/>
      <c r="BE1053" s="6"/>
      <c r="BG1053" s="6"/>
      <c r="BH1053" s="5"/>
      <c r="BI1053" s="5"/>
      <c r="BJ1053" s="7"/>
    </row>
    <row r="1054" s="1" customFormat="true" ht="14.25" hidden="false" customHeight="false" outlineLevel="0" collapsed="false">
      <c r="G1054" s="2"/>
      <c r="M1054" s="2"/>
      <c r="Z1054" s="3"/>
      <c r="AL1054" s="4"/>
      <c r="AM1054" s="5"/>
      <c r="AN1054" s="5"/>
      <c r="AO1054" s="5"/>
      <c r="AP1054" s="5"/>
      <c r="AQ1054" s="5"/>
      <c r="AR1054" s="5"/>
      <c r="AS1054" s="6"/>
      <c r="AU1054" s="6"/>
      <c r="AW1054" s="6"/>
      <c r="AY1054" s="5"/>
      <c r="AZ1054" s="5"/>
      <c r="BA1054" s="5"/>
      <c r="BC1054" s="6"/>
      <c r="BE1054" s="6"/>
      <c r="BG1054" s="6"/>
      <c r="BH1054" s="5"/>
      <c r="BI1054" s="5"/>
      <c r="BJ1054" s="7"/>
    </row>
    <row r="1055" s="1" customFormat="true" ht="14.25" hidden="false" customHeight="false" outlineLevel="0" collapsed="false">
      <c r="G1055" s="2"/>
      <c r="M1055" s="2"/>
      <c r="Z1055" s="3"/>
      <c r="AL1055" s="4"/>
      <c r="AM1055" s="5"/>
      <c r="AN1055" s="5"/>
      <c r="AO1055" s="5"/>
      <c r="AP1055" s="5"/>
      <c r="AQ1055" s="5"/>
      <c r="AR1055" s="5"/>
      <c r="AS1055" s="6"/>
      <c r="AU1055" s="6"/>
      <c r="AW1055" s="6"/>
      <c r="AY1055" s="5"/>
      <c r="AZ1055" s="5"/>
      <c r="BA1055" s="5"/>
      <c r="BC1055" s="6"/>
      <c r="BE1055" s="6"/>
      <c r="BG1055" s="6"/>
      <c r="BH1055" s="5"/>
      <c r="BI1055" s="5"/>
      <c r="BJ1055" s="7"/>
    </row>
    <row r="1056" s="1" customFormat="true" ht="14.25" hidden="false" customHeight="false" outlineLevel="0" collapsed="false">
      <c r="G1056" s="2"/>
      <c r="M1056" s="2"/>
      <c r="Z1056" s="3"/>
      <c r="AL1056" s="4"/>
      <c r="AM1056" s="5"/>
      <c r="AN1056" s="5"/>
      <c r="AO1056" s="5"/>
      <c r="AP1056" s="5"/>
      <c r="AQ1056" s="5"/>
      <c r="AR1056" s="5"/>
      <c r="AS1056" s="6"/>
      <c r="AU1056" s="6"/>
      <c r="AW1056" s="6"/>
      <c r="AY1056" s="5"/>
      <c r="AZ1056" s="5"/>
      <c r="BA1056" s="5"/>
      <c r="BC1056" s="6"/>
      <c r="BE1056" s="6"/>
      <c r="BG1056" s="6"/>
      <c r="BH1056" s="5"/>
      <c r="BI1056" s="5"/>
      <c r="BJ1056" s="7"/>
    </row>
    <row r="1057" s="1" customFormat="true" ht="14.25" hidden="false" customHeight="false" outlineLevel="0" collapsed="false">
      <c r="G1057" s="2"/>
      <c r="M1057" s="2"/>
      <c r="Z1057" s="3"/>
      <c r="AL1057" s="4"/>
      <c r="AM1057" s="5"/>
      <c r="AN1057" s="5"/>
      <c r="AO1057" s="5"/>
      <c r="AP1057" s="5"/>
      <c r="AQ1057" s="5"/>
      <c r="AR1057" s="5"/>
      <c r="AS1057" s="6"/>
      <c r="AU1057" s="6"/>
      <c r="AW1057" s="6"/>
      <c r="AY1057" s="5"/>
      <c r="AZ1057" s="5"/>
      <c r="BA1057" s="5"/>
      <c r="BC1057" s="6"/>
      <c r="BE1057" s="6"/>
      <c r="BG1057" s="6"/>
      <c r="BH1057" s="5"/>
      <c r="BI1057" s="5"/>
      <c r="BJ1057" s="7"/>
    </row>
    <row r="1058" s="1" customFormat="true" ht="14.25" hidden="false" customHeight="false" outlineLevel="0" collapsed="false">
      <c r="G1058" s="2"/>
      <c r="M1058" s="2"/>
      <c r="Z1058" s="3"/>
      <c r="AL1058" s="4"/>
      <c r="AM1058" s="5"/>
      <c r="AN1058" s="5"/>
      <c r="AO1058" s="5"/>
      <c r="AP1058" s="5"/>
      <c r="AQ1058" s="5"/>
      <c r="AR1058" s="5"/>
      <c r="AS1058" s="6"/>
      <c r="AU1058" s="6"/>
      <c r="AW1058" s="6"/>
      <c r="AY1058" s="5"/>
      <c r="AZ1058" s="5"/>
      <c r="BA1058" s="5"/>
      <c r="BC1058" s="6"/>
      <c r="BE1058" s="6"/>
      <c r="BG1058" s="6"/>
      <c r="BH1058" s="5"/>
      <c r="BI1058" s="5"/>
      <c r="BJ1058" s="7"/>
    </row>
    <row r="1059" s="1" customFormat="true" ht="14.25" hidden="false" customHeight="false" outlineLevel="0" collapsed="false">
      <c r="G1059" s="2"/>
      <c r="M1059" s="2"/>
      <c r="Z1059" s="3"/>
      <c r="AL1059" s="4"/>
      <c r="AM1059" s="5"/>
      <c r="AN1059" s="5"/>
      <c r="AO1059" s="5"/>
      <c r="AP1059" s="5"/>
      <c r="AQ1059" s="5"/>
      <c r="AR1059" s="5"/>
      <c r="AS1059" s="6"/>
      <c r="AU1059" s="6"/>
      <c r="AW1059" s="6"/>
      <c r="AY1059" s="5"/>
      <c r="AZ1059" s="5"/>
      <c r="BA1059" s="5"/>
      <c r="BC1059" s="6"/>
      <c r="BE1059" s="6"/>
      <c r="BG1059" s="6"/>
      <c r="BH1059" s="5"/>
      <c r="BI1059" s="5"/>
      <c r="BJ1059" s="7"/>
    </row>
    <row r="1060" s="1" customFormat="true" ht="14.25" hidden="false" customHeight="false" outlineLevel="0" collapsed="false">
      <c r="G1060" s="2"/>
      <c r="M1060" s="2"/>
      <c r="Z1060" s="3"/>
      <c r="AL1060" s="4"/>
      <c r="AM1060" s="5"/>
      <c r="AN1060" s="5"/>
      <c r="AO1060" s="5"/>
      <c r="AP1060" s="5"/>
      <c r="AQ1060" s="5"/>
      <c r="AR1060" s="5"/>
      <c r="AS1060" s="6"/>
      <c r="AU1060" s="6"/>
      <c r="AW1060" s="6"/>
      <c r="AY1060" s="5"/>
      <c r="AZ1060" s="5"/>
      <c r="BA1060" s="5"/>
      <c r="BC1060" s="6"/>
      <c r="BE1060" s="6"/>
      <c r="BG1060" s="6"/>
      <c r="BH1060" s="5"/>
      <c r="BI1060" s="5"/>
      <c r="BJ1060" s="7"/>
    </row>
    <row r="1061" s="1" customFormat="true" ht="14.25" hidden="false" customHeight="false" outlineLevel="0" collapsed="false">
      <c r="G1061" s="2"/>
      <c r="M1061" s="2"/>
      <c r="Z1061" s="3"/>
      <c r="AL1061" s="4"/>
      <c r="AM1061" s="5"/>
      <c r="AN1061" s="5"/>
      <c r="AO1061" s="5"/>
      <c r="AP1061" s="5"/>
      <c r="AQ1061" s="5"/>
      <c r="AR1061" s="5"/>
      <c r="AS1061" s="6"/>
      <c r="AU1061" s="6"/>
      <c r="AW1061" s="6"/>
      <c r="AY1061" s="5"/>
      <c r="AZ1061" s="5"/>
      <c r="BA1061" s="5"/>
      <c r="BC1061" s="6"/>
      <c r="BE1061" s="6"/>
      <c r="BG1061" s="6"/>
      <c r="BH1061" s="5"/>
      <c r="BI1061" s="5"/>
      <c r="BJ1061" s="7"/>
    </row>
    <row r="1062" s="1" customFormat="true" ht="14.25" hidden="false" customHeight="false" outlineLevel="0" collapsed="false">
      <c r="G1062" s="2"/>
      <c r="M1062" s="2"/>
      <c r="Z1062" s="3"/>
      <c r="AL1062" s="4"/>
      <c r="AM1062" s="5"/>
      <c r="AN1062" s="5"/>
      <c r="AO1062" s="5"/>
      <c r="AP1062" s="5"/>
      <c r="AQ1062" s="5"/>
      <c r="AR1062" s="5"/>
      <c r="AS1062" s="6"/>
      <c r="AU1062" s="6"/>
      <c r="AW1062" s="6"/>
      <c r="AY1062" s="5"/>
      <c r="AZ1062" s="5"/>
      <c r="BA1062" s="5"/>
      <c r="BC1062" s="6"/>
      <c r="BE1062" s="6"/>
      <c r="BG1062" s="6"/>
      <c r="BH1062" s="5"/>
      <c r="BI1062" s="5"/>
      <c r="BJ1062" s="7"/>
    </row>
    <row r="1063" s="1" customFormat="true" ht="14.25" hidden="false" customHeight="false" outlineLevel="0" collapsed="false">
      <c r="G1063" s="2"/>
      <c r="M1063" s="2"/>
      <c r="Z1063" s="3"/>
      <c r="AL1063" s="4"/>
      <c r="AM1063" s="5"/>
      <c r="AN1063" s="5"/>
      <c r="AO1063" s="5"/>
      <c r="AP1063" s="5"/>
      <c r="AQ1063" s="5"/>
      <c r="AR1063" s="5"/>
      <c r="AS1063" s="6"/>
      <c r="AU1063" s="6"/>
      <c r="AW1063" s="6"/>
      <c r="AY1063" s="5"/>
      <c r="AZ1063" s="5"/>
      <c r="BA1063" s="5"/>
      <c r="BC1063" s="6"/>
      <c r="BE1063" s="6"/>
      <c r="BG1063" s="6"/>
      <c r="BH1063" s="5"/>
      <c r="BI1063" s="5"/>
      <c r="BJ1063" s="7"/>
    </row>
    <row r="1064" s="1" customFormat="true" ht="14.25" hidden="false" customHeight="false" outlineLevel="0" collapsed="false">
      <c r="G1064" s="2"/>
      <c r="M1064" s="2"/>
      <c r="Z1064" s="3"/>
      <c r="AL1064" s="4"/>
      <c r="AM1064" s="5"/>
      <c r="AN1064" s="5"/>
      <c r="AO1064" s="5"/>
      <c r="AP1064" s="5"/>
      <c r="AQ1064" s="5"/>
      <c r="AR1064" s="5"/>
      <c r="AS1064" s="6"/>
      <c r="AU1064" s="6"/>
      <c r="AW1064" s="6"/>
      <c r="AY1064" s="5"/>
      <c r="AZ1064" s="5"/>
      <c r="BA1064" s="5"/>
      <c r="BC1064" s="6"/>
      <c r="BE1064" s="6"/>
      <c r="BG1064" s="6"/>
      <c r="BH1064" s="5"/>
      <c r="BI1064" s="5"/>
      <c r="BJ1064" s="7"/>
    </row>
    <row r="1065" s="1" customFormat="true" ht="14.25" hidden="false" customHeight="false" outlineLevel="0" collapsed="false">
      <c r="G1065" s="2"/>
      <c r="M1065" s="2"/>
      <c r="Z1065" s="3"/>
      <c r="AL1065" s="4"/>
      <c r="AM1065" s="5"/>
      <c r="AN1065" s="5"/>
      <c r="AO1065" s="5"/>
      <c r="AP1065" s="5"/>
      <c r="AQ1065" s="5"/>
      <c r="AR1065" s="5"/>
      <c r="AS1065" s="6"/>
      <c r="AU1065" s="6"/>
      <c r="AW1065" s="6"/>
      <c r="AY1065" s="5"/>
      <c r="AZ1065" s="5"/>
      <c r="BA1065" s="5"/>
      <c r="BC1065" s="6"/>
      <c r="BE1065" s="6"/>
      <c r="BG1065" s="6"/>
      <c r="BH1065" s="5"/>
      <c r="BI1065" s="5"/>
      <c r="BJ1065" s="7"/>
    </row>
    <row r="1066" s="1" customFormat="true" ht="14.25" hidden="false" customHeight="false" outlineLevel="0" collapsed="false">
      <c r="G1066" s="2"/>
      <c r="M1066" s="2"/>
      <c r="Z1066" s="3"/>
      <c r="AL1066" s="4"/>
      <c r="AM1066" s="5"/>
      <c r="AN1066" s="5"/>
      <c r="AO1066" s="5"/>
      <c r="AP1066" s="5"/>
      <c r="AQ1066" s="5"/>
      <c r="AR1066" s="5"/>
      <c r="AS1066" s="6"/>
      <c r="AU1066" s="6"/>
      <c r="AW1066" s="6"/>
      <c r="AY1066" s="5"/>
      <c r="AZ1066" s="5"/>
      <c r="BA1066" s="5"/>
      <c r="BC1066" s="6"/>
      <c r="BE1066" s="6"/>
      <c r="BG1066" s="6"/>
      <c r="BH1066" s="5"/>
      <c r="BI1066" s="5"/>
      <c r="BJ1066" s="7"/>
    </row>
    <row r="1067" s="1" customFormat="true" ht="14.25" hidden="false" customHeight="false" outlineLevel="0" collapsed="false">
      <c r="G1067" s="2"/>
      <c r="M1067" s="2"/>
      <c r="Z1067" s="3"/>
      <c r="AL1067" s="4"/>
      <c r="AM1067" s="5"/>
      <c r="AN1067" s="5"/>
      <c r="AO1067" s="5"/>
      <c r="AP1067" s="5"/>
      <c r="AQ1067" s="5"/>
      <c r="AR1067" s="5"/>
      <c r="AS1067" s="6"/>
      <c r="AU1067" s="6"/>
      <c r="AW1067" s="6"/>
      <c r="AY1067" s="5"/>
      <c r="AZ1067" s="5"/>
      <c r="BA1067" s="5"/>
      <c r="BC1067" s="6"/>
      <c r="BE1067" s="6"/>
      <c r="BG1067" s="6"/>
      <c r="BH1067" s="5"/>
      <c r="BI1067" s="5"/>
      <c r="BJ1067" s="7"/>
    </row>
    <row r="1068" s="1" customFormat="true" ht="14.25" hidden="false" customHeight="false" outlineLevel="0" collapsed="false">
      <c r="G1068" s="2"/>
      <c r="M1068" s="2"/>
      <c r="Z1068" s="3"/>
      <c r="AL1068" s="4"/>
      <c r="AM1068" s="5"/>
      <c r="AN1068" s="5"/>
      <c r="AO1068" s="5"/>
      <c r="AP1068" s="5"/>
      <c r="AQ1068" s="5"/>
      <c r="AR1068" s="5"/>
      <c r="AS1068" s="6"/>
      <c r="AU1068" s="6"/>
      <c r="AW1068" s="6"/>
      <c r="AY1068" s="5"/>
      <c r="AZ1068" s="5"/>
      <c r="BA1068" s="5"/>
      <c r="BC1068" s="6"/>
      <c r="BE1068" s="6"/>
      <c r="BG1068" s="6"/>
      <c r="BH1068" s="5"/>
      <c r="BI1068" s="5"/>
      <c r="BJ1068" s="7"/>
    </row>
    <row r="1069" s="1" customFormat="true" ht="14.25" hidden="false" customHeight="false" outlineLevel="0" collapsed="false">
      <c r="G1069" s="2"/>
      <c r="M1069" s="2"/>
      <c r="Z1069" s="3"/>
      <c r="AL1069" s="4"/>
      <c r="AM1069" s="5"/>
      <c r="AN1069" s="5"/>
      <c r="AO1069" s="5"/>
      <c r="AP1069" s="5"/>
      <c r="AQ1069" s="5"/>
      <c r="AR1069" s="5"/>
      <c r="AS1069" s="6"/>
      <c r="AU1069" s="6"/>
      <c r="AW1069" s="6"/>
      <c r="AY1069" s="5"/>
      <c r="AZ1069" s="5"/>
      <c r="BA1069" s="5"/>
      <c r="BC1069" s="6"/>
      <c r="BE1069" s="6"/>
      <c r="BG1069" s="6"/>
      <c r="BH1069" s="5"/>
      <c r="BI1069" s="5"/>
      <c r="BJ1069" s="7"/>
    </row>
    <row r="1070" s="1" customFormat="true" ht="14.25" hidden="false" customHeight="false" outlineLevel="0" collapsed="false">
      <c r="G1070" s="2"/>
      <c r="M1070" s="2"/>
      <c r="Z1070" s="3"/>
      <c r="AL1070" s="4"/>
      <c r="AM1070" s="5"/>
      <c r="AN1070" s="5"/>
      <c r="AO1070" s="5"/>
      <c r="AP1070" s="5"/>
      <c r="AQ1070" s="5"/>
      <c r="AR1070" s="5"/>
      <c r="AS1070" s="6"/>
      <c r="AU1070" s="6"/>
      <c r="AW1070" s="6"/>
      <c r="AY1070" s="5"/>
      <c r="AZ1070" s="5"/>
      <c r="BA1070" s="5"/>
      <c r="BC1070" s="6"/>
      <c r="BE1070" s="6"/>
      <c r="BG1070" s="6"/>
      <c r="BH1070" s="5"/>
      <c r="BI1070" s="5"/>
      <c r="BJ1070" s="7"/>
    </row>
    <row r="1071" s="1" customFormat="true" ht="14.25" hidden="false" customHeight="false" outlineLevel="0" collapsed="false">
      <c r="G1071" s="2"/>
      <c r="M1071" s="2"/>
      <c r="Z1071" s="3"/>
      <c r="AL1071" s="4"/>
      <c r="AM1071" s="5"/>
      <c r="AN1071" s="5"/>
      <c r="AO1071" s="5"/>
      <c r="AP1071" s="5"/>
      <c r="AQ1071" s="5"/>
      <c r="AR1071" s="5"/>
      <c r="AS1071" s="6"/>
      <c r="AU1071" s="6"/>
      <c r="AW1071" s="6"/>
      <c r="AY1071" s="5"/>
      <c r="AZ1071" s="5"/>
      <c r="BA1071" s="5"/>
      <c r="BC1071" s="6"/>
      <c r="BE1071" s="6"/>
      <c r="BG1071" s="6"/>
      <c r="BH1071" s="5"/>
      <c r="BI1071" s="5"/>
      <c r="BJ1071" s="7"/>
    </row>
    <row r="1072" s="1" customFormat="true" ht="14.25" hidden="false" customHeight="false" outlineLevel="0" collapsed="false">
      <c r="G1072" s="2"/>
      <c r="M1072" s="2"/>
      <c r="Z1072" s="3"/>
      <c r="AL1072" s="4"/>
      <c r="AM1072" s="5"/>
      <c r="AN1072" s="5"/>
      <c r="AO1072" s="5"/>
      <c r="AP1072" s="5"/>
      <c r="AQ1072" s="5"/>
      <c r="AR1072" s="5"/>
      <c r="AS1072" s="6"/>
      <c r="AU1072" s="6"/>
      <c r="AW1072" s="6"/>
      <c r="AY1072" s="5"/>
      <c r="AZ1072" s="5"/>
      <c r="BA1072" s="5"/>
      <c r="BC1072" s="6"/>
      <c r="BE1072" s="6"/>
      <c r="BG1072" s="6"/>
      <c r="BH1072" s="5"/>
      <c r="BI1072" s="5"/>
      <c r="BJ1072" s="7"/>
    </row>
    <row r="1073" s="1" customFormat="true" ht="14.25" hidden="false" customHeight="false" outlineLevel="0" collapsed="false">
      <c r="G1073" s="2"/>
      <c r="M1073" s="2"/>
      <c r="Z1073" s="3"/>
      <c r="AL1073" s="4"/>
      <c r="AM1073" s="5"/>
      <c r="AN1073" s="5"/>
      <c r="AO1073" s="5"/>
      <c r="AP1073" s="5"/>
      <c r="AQ1073" s="5"/>
      <c r="AR1073" s="5"/>
      <c r="AS1073" s="6"/>
      <c r="AU1073" s="6"/>
      <c r="AW1073" s="6"/>
      <c r="AY1073" s="5"/>
      <c r="AZ1073" s="5"/>
      <c r="BA1073" s="5"/>
      <c r="BC1073" s="6"/>
      <c r="BE1073" s="6"/>
      <c r="BG1073" s="6"/>
      <c r="BH1073" s="5"/>
      <c r="BI1073" s="5"/>
      <c r="BJ1073" s="7"/>
    </row>
    <row r="1074" s="1" customFormat="true" ht="14.25" hidden="false" customHeight="false" outlineLevel="0" collapsed="false">
      <c r="G1074" s="2"/>
      <c r="M1074" s="2"/>
      <c r="Z1074" s="3"/>
      <c r="AL1074" s="4"/>
      <c r="AM1074" s="5"/>
      <c r="AN1074" s="5"/>
      <c r="AO1074" s="5"/>
      <c r="AP1074" s="5"/>
      <c r="AQ1074" s="5"/>
      <c r="AR1074" s="5"/>
      <c r="AS1074" s="6"/>
      <c r="AU1074" s="6"/>
      <c r="AW1074" s="6"/>
      <c r="AY1074" s="5"/>
      <c r="AZ1074" s="5"/>
      <c r="BA1074" s="5"/>
      <c r="BC1074" s="6"/>
      <c r="BE1074" s="6"/>
      <c r="BG1074" s="6"/>
      <c r="BH1074" s="5"/>
      <c r="BI1074" s="5"/>
      <c r="BJ1074" s="7"/>
    </row>
    <row r="1075" s="1" customFormat="true" ht="14.25" hidden="false" customHeight="false" outlineLevel="0" collapsed="false">
      <c r="G1075" s="2"/>
      <c r="M1075" s="2"/>
      <c r="Z1075" s="3"/>
      <c r="AL1075" s="4"/>
      <c r="AM1075" s="5"/>
      <c r="AN1075" s="5"/>
      <c r="AO1075" s="5"/>
      <c r="AP1075" s="5"/>
      <c r="AQ1075" s="5"/>
      <c r="AR1075" s="5"/>
      <c r="AS1075" s="6"/>
      <c r="AU1075" s="6"/>
      <c r="AW1075" s="6"/>
      <c r="AY1075" s="5"/>
      <c r="AZ1075" s="5"/>
      <c r="BA1075" s="5"/>
      <c r="BC1075" s="6"/>
      <c r="BE1075" s="6"/>
      <c r="BG1075" s="6"/>
      <c r="BH1075" s="5"/>
      <c r="BI1075" s="5"/>
      <c r="BJ1075" s="7"/>
    </row>
    <row r="1076" s="1" customFormat="true" ht="14.25" hidden="false" customHeight="false" outlineLevel="0" collapsed="false">
      <c r="G1076" s="2"/>
      <c r="M1076" s="2"/>
      <c r="Z1076" s="3"/>
      <c r="AL1076" s="4"/>
      <c r="AM1076" s="5"/>
      <c r="AN1076" s="5"/>
      <c r="AO1076" s="5"/>
      <c r="AP1076" s="5"/>
      <c r="AQ1076" s="5"/>
      <c r="AR1076" s="5"/>
      <c r="AS1076" s="6"/>
      <c r="AU1076" s="6"/>
      <c r="AW1076" s="6"/>
      <c r="AY1076" s="5"/>
      <c r="AZ1076" s="5"/>
      <c r="BA1076" s="5"/>
      <c r="BC1076" s="6"/>
      <c r="BE1076" s="6"/>
      <c r="BG1076" s="6"/>
      <c r="BH1076" s="5"/>
      <c r="BI1076" s="5"/>
      <c r="BJ1076" s="7"/>
    </row>
    <row r="1077" s="1" customFormat="true" ht="14.25" hidden="false" customHeight="false" outlineLevel="0" collapsed="false">
      <c r="G1077" s="2"/>
      <c r="M1077" s="2"/>
      <c r="Z1077" s="3"/>
      <c r="AL1077" s="4"/>
      <c r="AM1077" s="5"/>
      <c r="AN1077" s="5"/>
      <c r="AO1077" s="5"/>
      <c r="AP1077" s="5"/>
      <c r="AQ1077" s="5"/>
      <c r="AR1077" s="5"/>
      <c r="AS1077" s="6"/>
      <c r="AU1077" s="6"/>
      <c r="AW1077" s="6"/>
      <c r="AY1077" s="5"/>
      <c r="AZ1077" s="5"/>
      <c r="BA1077" s="5"/>
      <c r="BC1077" s="6"/>
      <c r="BE1077" s="6"/>
      <c r="BG1077" s="6"/>
      <c r="BH1077" s="5"/>
      <c r="BI1077" s="5"/>
      <c r="BJ1077" s="7"/>
    </row>
    <row r="1078" s="1" customFormat="true" ht="14.25" hidden="false" customHeight="false" outlineLevel="0" collapsed="false">
      <c r="G1078" s="2"/>
      <c r="M1078" s="2"/>
      <c r="Z1078" s="3"/>
      <c r="AL1078" s="4"/>
      <c r="AM1078" s="5"/>
      <c r="AN1078" s="5"/>
      <c r="AO1078" s="5"/>
      <c r="AP1078" s="5"/>
      <c r="AQ1078" s="5"/>
      <c r="AR1078" s="5"/>
      <c r="AS1078" s="6"/>
      <c r="AU1078" s="6"/>
      <c r="AW1078" s="6"/>
      <c r="AY1078" s="5"/>
      <c r="AZ1078" s="5"/>
      <c r="BA1078" s="5"/>
      <c r="BC1078" s="6"/>
      <c r="BE1078" s="6"/>
      <c r="BG1078" s="6"/>
      <c r="BH1078" s="5"/>
      <c r="BI1078" s="5"/>
      <c r="BJ1078" s="7"/>
    </row>
    <row r="1079" s="1" customFormat="true" ht="14.25" hidden="false" customHeight="false" outlineLevel="0" collapsed="false">
      <c r="G1079" s="2"/>
      <c r="M1079" s="2"/>
      <c r="Z1079" s="3"/>
      <c r="AL1079" s="4"/>
      <c r="AM1079" s="5"/>
      <c r="AN1079" s="5"/>
      <c r="AO1079" s="5"/>
      <c r="AP1079" s="5"/>
      <c r="AQ1079" s="5"/>
      <c r="AR1079" s="5"/>
      <c r="AS1079" s="6"/>
      <c r="AU1079" s="6"/>
      <c r="AW1079" s="6"/>
      <c r="AY1079" s="5"/>
      <c r="AZ1079" s="5"/>
      <c r="BA1079" s="5"/>
      <c r="BC1079" s="6"/>
      <c r="BE1079" s="6"/>
      <c r="BG1079" s="6"/>
      <c r="BH1079" s="5"/>
      <c r="BI1079" s="5"/>
      <c r="BJ1079" s="7"/>
    </row>
    <row r="1080" s="1" customFormat="true" ht="14.25" hidden="false" customHeight="false" outlineLevel="0" collapsed="false">
      <c r="G1080" s="2"/>
      <c r="M1080" s="2"/>
      <c r="Z1080" s="3"/>
      <c r="AL1080" s="4"/>
      <c r="AM1080" s="5"/>
      <c r="AN1080" s="5"/>
      <c r="AO1080" s="5"/>
      <c r="AP1080" s="5"/>
      <c r="AQ1080" s="5"/>
      <c r="AR1080" s="5"/>
      <c r="AS1080" s="6"/>
      <c r="AU1080" s="6"/>
      <c r="AW1080" s="6"/>
      <c r="AY1080" s="5"/>
      <c r="AZ1080" s="5"/>
      <c r="BA1080" s="5"/>
      <c r="BC1080" s="6"/>
      <c r="BE1080" s="6"/>
      <c r="BG1080" s="6"/>
      <c r="BH1080" s="5"/>
      <c r="BI1080" s="5"/>
      <c r="BJ1080" s="7"/>
    </row>
    <row r="1081" s="1" customFormat="true" ht="14.25" hidden="false" customHeight="false" outlineLevel="0" collapsed="false">
      <c r="G1081" s="2"/>
      <c r="M1081" s="2"/>
      <c r="Z1081" s="3"/>
      <c r="AL1081" s="4"/>
      <c r="AM1081" s="5"/>
      <c r="AN1081" s="5"/>
      <c r="AO1081" s="5"/>
      <c r="AP1081" s="5"/>
      <c r="AQ1081" s="5"/>
      <c r="AR1081" s="5"/>
      <c r="AS1081" s="6"/>
      <c r="AU1081" s="6"/>
      <c r="AW1081" s="6"/>
      <c r="AY1081" s="5"/>
      <c r="AZ1081" s="5"/>
      <c r="BA1081" s="5"/>
      <c r="BC1081" s="6"/>
      <c r="BE1081" s="6"/>
      <c r="BG1081" s="6"/>
      <c r="BH1081" s="5"/>
      <c r="BI1081" s="5"/>
      <c r="BJ1081" s="7"/>
    </row>
    <row r="1082" s="1" customFormat="true" ht="14.25" hidden="false" customHeight="false" outlineLevel="0" collapsed="false">
      <c r="G1082" s="2"/>
      <c r="M1082" s="2"/>
      <c r="Z1082" s="3"/>
      <c r="AL1082" s="4"/>
      <c r="AM1082" s="5"/>
      <c r="AN1082" s="5"/>
      <c r="AO1082" s="5"/>
      <c r="AP1082" s="5"/>
      <c r="AQ1082" s="5"/>
      <c r="AR1082" s="5"/>
      <c r="AS1082" s="6"/>
      <c r="AU1082" s="6"/>
      <c r="AW1082" s="6"/>
      <c r="AY1082" s="5"/>
      <c r="AZ1082" s="5"/>
      <c r="BA1082" s="5"/>
      <c r="BC1082" s="6"/>
      <c r="BE1082" s="6"/>
      <c r="BG1082" s="6"/>
      <c r="BH1082" s="5"/>
      <c r="BI1082" s="5"/>
      <c r="BJ1082" s="7"/>
    </row>
    <row r="1083" s="1" customFormat="true" ht="14.25" hidden="false" customHeight="false" outlineLevel="0" collapsed="false">
      <c r="G1083" s="2"/>
      <c r="M1083" s="2"/>
      <c r="Z1083" s="3"/>
      <c r="AL1083" s="4"/>
      <c r="AM1083" s="5"/>
      <c r="AN1083" s="5"/>
      <c r="AO1083" s="5"/>
      <c r="AP1083" s="5"/>
      <c r="AQ1083" s="5"/>
      <c r="AR1083" s="5"/>
      <c r="AS1083" s="6"/>
      <c r="AU1083" s="6"/>
      <c r="AW1083" s="6"/>
      <c r="AY1083" s="5"/>
      <c r="AZ1083" s="5"/>
      <c r="BA1083" s="5"/>
      <c r="BC1083" s="6"/>
      <c r="BE1083" s="6"/>
      <c r="BG1083" s="6"/>
      <c r="BH1083" s="5"/>
      <c r="BI1083" s="5"/>
      <c r="BJ1083" s="7"/>
    </row>
    <row r="1084" s="1" customFormat="true" ht="14.25" hidden="false" customHeight="false" outlineLevel="0" collapsed="false">
      <c r="G1084" s="2"/>
      <c r="M1084" s="2"/>
      <c r="Z1084" s="3"/>
      <c r="AL1084" s="4"/>
      <c r="AM1084" s="5"/>
      <c r="AN1084" s="5"/>
      <c r="AO1084" s="5"/>
      <c r="AP1084" s="5"/>
      <c r="AQ1084" s="5"/>
      <c r="AR1084" s="5"/>
      <c r="AS1084" s="6"/>
      <c r="AU1084" s="6"/>
      <c r="AW1084" s="6"/>
      <c r="AY1084" s="5"/>
      <c r="AZ1084" s="5"/>
      <c r="BA1084" s="5"/>
      <c r="BC1084" s="6"/>
      <c r="BE1084" s="6"/>
      <c r="BG1084" s="6"/>
      <c r="BH1084" s="5"/>
      <c r="BI1084" s="5"/>
      <c r="BJ1084" s="7"/>
    </row>
    <row r="1085" s="1" customFormat="true" ht="14.25" hidden="false" customHeight="false" outlineLevel="0" collapsed="false">
      <c r="G1085" s="2"/>
      <c r="M1085" s="2"/>
      <c r="Z1085" s="3"/>
      <c r="AL1085" s="4"/>
      <c r="AM1085" s="5"/>
      <c r="AN1085" s="5"/>
      <c r="AO1085" s="5"/>
      <c r="AP1085" s="5"/>
      <c r="AQ1085" s="5"/>
      <c r="AR1085" s="5"/>
      <c r="AS1085" s="6"/>
      <c r="AU1085" s="6"/>
      <c r="AW1085" s="6"/>
      <c r="AY1085" s="5"/>
      <c r="AZ1085" s="5"/>
      <c r="BA1085" s="5"/>
      <c r="BC1085" s="6"/>
      <c r="BE1085" s="6"/>
      <c r="BG1085" s="6"/>
      <c r="BH1085" s="5"/>
      <c r="BI1085" s="5"/>
      <c r="BJ1085" s="7"/>
    </row>
    <row r="1086" s="1" customFormat="true" ht="14.25" hidden="false" customHeight="false" outlineLevel="0" collapsed="false">
      <c r="G1086" s="2"/>
      <c r="M1086" s="2"/>
      <c r="Z1086" s="3"/>
      <c r="AL1086" s="4"/>
      <c r="AM1086" s="5"/>
      <c r="AN1086" s="5"/>
      <c r="AO1086" s="5"/>
      <c r="AP1086" s="5"/>
      <c r="AQ1086" s="5"/>
      <c r="AR1086" s="5"/>
      <c r="AS1086" s="6"/>
      <c r="AU1086" s="6"/>
      <c r="AW1086" s="6"/>
      <c r="AY1086" s="5"/>
      <c r="AZ1086" s="5"/>
      <c r="BA1086" s="5"/>
      <c r="BC1086" s="6"/>
      <c r="BE1086" s="6"/>
      <c r="BG1086" s="6"/>
      <c r="BH1086" s="5"/>
      <c r="BI1086" s="5"/>
      <c r="BJ1086" s="7"/>
    </row>
    <row r="1087" s="1" customFormat="true" ht="14.25" hidden="false" customHeight="false" outlineLevel="0" collapsed="false">
      <c r="G1087" s="2"/>
      <c r="M1087" s="2"/>
      <c r="Z1087" s="3"/>
      <c r="AL1087" s="4"/>
      <c r="AM1087" s="5"/>
      <c r="AN1087" s="5"/>
      <c r="AO1087" s="5"/>
      <c r="AP1087" s="5"/>
      <c r="AQ1087" s="5"/>
      <c r="AR1087" s="5"/>
      <c r="AS1087" s="6"/>
      <c r="AU1087" s="6"/>
      <c r="AW1087" s="6"/>
      <c r="AY1087" s="5"/>
      <c r="AZ1087" s="5"/>
      <c r="BA1087" s="5"/>
      <c r="BC1087" s="6"/>
      <c r="BE1087" s="6"/>
      <c r="BG1087" s="6"/>
      <c r="BH1087" s="5"/>
      <c r="BI1087" s="5"/>
      <c r="BJ1087" s="7"/>
    </row>
    <row r="1088" s="1" customFormat="true" ht="14.25" hidden="false" customHeight="false" outlineLevel="0" collapsed="false">
      <c r="G1088" s="2"/>
      <c r="M1088" s="2"/>
      <c r="Z1088" s="3"/>
      <c r="AL1088" s="4"/>
      <c r="AM1088" s="5"/>
      <c r="AN1088" s="5"/>
      <c r="AO1088" s="5"/>
      <c r="AP1088" s="5"/>
      <c r="AQ1088" s="5"/>
      <c r="AR1088" s="5"/>
      <c r="AS1088" s="6"/>
      <c r="AU1088" s="6"/>
      <c r="AW1088" s="6"/>
      <c r="AY1088" s="5"/>
      <c r="AZ1088" s="5"/>
      <c r="BA1088" s="5"/>
      <c r="BC1088" s="6"/>
      <c r="BE1088" s="6"/>
      <c r="BG1088" s="6"/>
      <c r="BH1088" s="5"/>
      <c r="BI1088" s="5"/>
      <c r="BJ1088" s="7"/>
    </row>
    <row r="1089" s="1" customFormat="true" ht="14.25" hidden="false" customHeight="false" outlineLevel="0" collapsed="false">
      <c r="G1089" s="2"/>
      <c r="M1089" s="2"/>
      <c r="Z1089" s="3"/>
      <c r="AL1089" s="4"/>
      <c r="AM1089" s="5"/>
      <c r="AN1089" s="5"/>
      <c r="AO1089" s="5"/>
      <c r="AP1089" s="5"/>
      <c r="AQ1089" s="5"/>
      <c r="AR1089" s="5"/>
      <c r="AS1089" s="6"/>
      <c r="AU1089" s="6"/>
      <c r="AW1089" s="6"/>
      <c r="AY1089" s="5"/>
      <c r="AZ1089" s="5"/>
      <c r="BA1089" s="5"/>
      <c r="BC1089" s="6"/>
      <c r="BE1089" s="6"/>
      <c r="BG1089" s="6"/>
      <c r="BH1089" s="5"/>
      <c r="BI1089" s="5"/>
      <c r="BJ1089" s="7"/>
    </row>
    <row r="1090" s="1" customFormat="true" ht="14.25" hidden="false" customHeight="false" outlineLevel="0" collapsed="false">
      <c r="G1090" s="2"/>
      <c r="M1090" s="2"/>
      <c r="Z1090" s="3"/>
      <c r="AL1090" s="4"/>
      <c r="AM1090" s="5"/>
      <c r="AN1090" s="5"/>
      <c r="AO1090" s="5"/>
      <c r="AP1090" s="5"/>
      <c r="AQ1090" s="5"/>
      <c r="AR1090" s="5"/>
      <c r="AS1090" s="6"/>
      <c r="AU1090" s="6"/>
      <c r="AW1090" s="6"/>
      <c r="AY1090" s="5"/>
      <c r="AZ1090" s="5"/>
      <c r="BA1090" s="5"/>
      <c r="BC1090" s="6"/>
      <c r="BE1090" s="6"/>
      <c r="BG1090" s="6"/>
      <c r="BH1090" s="5"/>
      <c r="BI1090" s="5"/>
      <c r="BJ1090" s="7"/>
    </row>
    <row r="1091" s="1" customFormat="true" ht="14.25" hidden="false" customHeight="false" outlineLevel="0" collapsed="false">
      <c r="G1091" s="2"/>
      <c r="M1091" s="2"/>
      <c r="Z1091" s="3"/>
      <c r="AL1091" s="4"/>
      <c r="AM1091" s="5"/>
      <c r="AN1091" s="5"/>
      <c r="AO1091" s="5"/>
      <c r="AP1091" s="5"/>
      <c r="AQ1091" s="5"/>
      <c r="AR1091" s="5"/>
      <c r="AS1091" s="6"/>
      <c r="AU1091" s="6"/>
      <c r="AW1091" s="6"/>
      <c r="AY1091" s="5"/>
      <c r="AZ1091" s="5"/>
      <c r="BA1091" s="5"/>
      <c r="BC1091" s="6"/>
      <c r="BE1091" s="6"/>
      <c r="BG1091" s="6"/>
      <c r="BH1091" s="5"/>
      <c r="BI1091" s="5"/>
      <c r="BJ1091" s="7"/>
    </row>
    <row r="1092" s="1" customFormat="true" ht="14.25" hidden="false" customHeight="false" outlineLevel="0" collapsed="false">
      <c r="G1092" s="2"/>
      <c r="M1092" s="2"/>
      <c r="Z1092" s="3"/>
      <c r="AL1092" s="4"/>
      <c r="AM1092" s="5"/>
      <c r="AN1092" s="5"/>
      <c r="AO1092" s="5"/>
      <c r="AP1092" s="5"/>
      <c r="AQ1092" s="5"/>
      <c r="AR1092" s="5"/>
      <c r="AS1092" s="6"/>
      <c r="AU1092" s="6"/>
      <c r="AW1092" s="6"/>
      <c r="AY1092" s="5"/>
      <c r="AZ1092" s="5"/>
      <c r="BA1092" s="5"/>
      <c r="BC1092" s="6"/>
      <c r="BE1092" s="6"/>
      <c r="BG1092" s="6"/>
      <c r="BH1092" s="5"/>
      <c r="BI1092" s="5"/>
      <c r="BJ1092" s="7"/>
    </row>
    <row r="1093" s="1" customFormat="true" ht="14.25" hidden="false" customHeight="false" outlineLevel="0" collapsed="false">
      <c r="G1093" s="2"/>
      <c r="M1093" s="2"/>
      <c r="Z1093" s="3"/>
      <c r="AL1093" s="4"/>
      <c r="AM1093" s="5"/>
      <c r="AN1093" s="5"/>
      <c r="AO1093" s="5"/>
      <c r="AP1093" s="5"/>
      <c r="AQ1093" s="5"/>
      <c r="AR1093" s="5"/>
      <c r="AS1093" s="6"/>
      <c r="AU1093" s="6"/>
      <c r="AW1093" s="6"/>
      <c r="AY1093" s="5"/>
      <c r="AZ1093" s="5"/>
      <c r="BA1093" s="5"/>
      <c r="BC1093" s="6"/>
      <c r="BE1093" s="6"/>
      <c r="BG1093" s="6"/>
      <c r="BH1093" s="5"/>
      <c r="BI1093" s="5"/>
      <c r="BJ1093" s="7"/>
    </row>
    <row r="1094" s="1" customFormat="true" ht="14.25" hidden="false" customHeight="false" outlineLevel="0" collapsed="false">
      <c r="G1094" s="2"/>
      <c r="M1094" s="2"/>
      <c r="Z1094" s="3"/>
      <c r="AL1094" s="4"/>
      <c r="AM1094" s="5"/>
      <c r="AN1094" s="5"/>
      <c r="AO1094" s="5"/>
      <c r="AP1094" s="5"/>
      <c r="AQ1094" s="5"/>
      <c r="AR1094" s="5"/>
      <c r="AS1094" s="6"/>
      <c r="AU1094" s="6"/>
      <c r="AW1094" s="6"/>
      <c r="AY1094" s="5"/>
      <c r="AZ1094" s="5"/>
      <c r="BA1094" s="5"/>
      <c r="BC1094" s="6"/>
      <c r="BE1094" s="6"/>
      <c r="BG1094" s="6"/>
      <c r="BH1094" s="5"/>
      <c r="BI1094" s="5"/>
      <c r="BJ1094" s="7"/>
    </row>
    <row r="1095" s="1" customFormat="true" ht="14.25" hidden="false" customHeight="false" outlineLevel="0" collapsed="false">
      <c r="G1095" s="2"/>
      <c r="M1095" s="2"/>
      <c r="Z1095" s="3"/>
      <c r="AL1095" s="4"/>
      <c r="AM1095" s="5"/>
      <c r="AN1095" s="5"/>
      <c r="AO1095" s="5"/>
      <c r="AP1095" s="5"/>
      <c r="AQ1095" s="5"/>
      <c r="AR1095" s="5"/>
      <c r="AS1095" s="6"/>
      <c r="AU1095" s="6"/>
      <c r="AW1095" s="6"/>
      <c r="AY1095" s="5"/>
      <c r="AZ1095" s="5"/>
      <c r="BA1095" s="5"/>
      <c r="BC1095" s="6"/>
      <c r="BE1095" s="6"/>
      <c r="BG1095" s="6"/>
      <c r="BH1095" s="5"/>
      <c r="BI1095" s="5"/>
      <c r="BJ1095" s="7"/>
    </row>
    <row r="1096" s="1" customFormat="true" ht="14.25" hidden="false" customHeight="false" outlineLevel="0" collapsed="false">
      <c r="G1096" s="2"/>
      <c r="M1096" s="2"/>
      <c r="Z1096" s="3"/>
      <c r="AL1096" s="4"/>
      <c r="AM1096" s="5"/>
      <c r="AN1096" s="5"/>
      <c r="AO1096" s="5"/>
      <c r="AP1096" s="5"/>
      <c r="AQ1096" s="5"/>
      <c r="AR1096" s="5"/>
      <c r="AS1096" s="6"/>
      <c r="AU1096" s="6"/>
      <c r="AW1096" s="6"/>
      <c r="AY1096" s="5"/>
      <c r="AZ1096" s="5"/>
      <c r="BA1096" s="5"/>
      <c r="BC1096" s="6"/>
      <c r="BE1096" s="6"/>
      <c r="BG1096" s="6"/>
      <c r="BH1096" s="5"/>
      <c r="BI1096" s="5"/>
      <c r="BJ1096" s="7"/>
    </row>
    <row r="1097" s="1" customFormat="true" ht="14.25" hidden="false" customHeight="false" outlineLevel="0" collapsed="false">
      <c r="G1097" s="2"/>
      <c r="M1097" s="2"/>
      <c r="Z1097" s="3"/>
      <c r="AL1097" s="4"/>
      <c r="AM1097" s="5"/>
      <c r="AN1097" s="5"/>
      <c r="AO1097" s="5"/>
      <c r="AP1097" s="5"/>
      <c r="AQ1097" s="5"/>
      <c r="AR1097" s="5"/>
      <c r="AS1097" s="6"/>
      <c r="AU1097" s="6"/>
      <c r="AW1097" s="6"/>
      <c r="AY1097" s="5"/>
      <c r="AZ1097" s="5"/>
      <c r="BA1097" s="5"/>
      <c r="BC1097" s="6"/>
      <c r="BE1097" s="6"/>
      <c r="BG1097" s="6"/>
      <c r="BH1097" s="5"/>
      <c r="BI1097" s="5"/>
      <c r="BJ1097" s="7"/>
    </row>
    <row r="1098" s="1" customFormat="true" ht="14.25" hidden="false" customHeight="false" outlineLevel="0" collapsed="false">
      <c r="G1098" s="2"/>
      <c r="M1098" s="2"/>
      <c r="Z1098" s="3"/>
      <c r="AL1098" s="4"/>
      <c r="AM1098" s="5"/>
      <c r="AN1098" s="5"/>
      <c r="AO1098" s="5"/>
      <c r="AP1098" s="5"/>
      <c r="AQ1098" s="5"/>
      <c r="AR1098" s="5"/>
      <c r="AS1098" s="6"/>
      <c r="AU1098" s="6"/>
      <c r="AW1098" s="6"/>
      <c r="AY1098" s="5"/>
      <c r="AZ1098" s="5"/>
      <c r="BA1098" s="5"/>
      <c r="BC1098" s="6"/>
      <c r="BE1098" s="6"/>
      <c r="BG1098" s="6"/>
      <c r="BH1098" s="5"/>
      <c r="BI1098" s="5"/>
      <c r="BJ1098" s="7"/>
    </row>
    <row r="1099" s="1" customFormat="true" ht="14.25" hidden="false" customHeight="false" outlineLevel="0" collapsed="false">
      <c r="G1099" s="2"/>
      <c r="M1099" s="2"/>
      <c r="Z1099" s="3"/>
      <c r="AL1099" s="4"/>
      <c r="AM1099" s="5"/>
      <c r="AN1099" s="5"/>
      <c r="AO1099" s="5"/>
      <c r="AP1099" s="5"/>
      <c r="AQ1099" s="5"/>
      <c r="AR1099" s="5"/>
      <c r="AS1099" s="6"/>
      <c r="AU1099" s="6"/>
      <c r="AW1099" s="6"/>
      <c r="AY1099" s="5"/>
      <c r="AZ1099" s="5"/>
      <c r="BA1099" s="5"/>
      <c r="BC1099" s="6"/>
      <c r="BE1099" s="6"/>
      <c r="BG1099" s="6"/>
      <c r="BH1099" s="5"/>
      <c r="BI1099" s="5"/>
      <c r="BJ1099" s="7"/>
    </row>
    <row r="1100" s="1" customFormat="true" ht="14.25" hidden="false" customHeight="false" outlineLevel="0" collapsed="false">
      <c r="G1100" s="2"/>
      <c r="M1100" s="2"/>
      <c r="Z1100" s="3"/>
      <c r="AL1100" s="4"/>
      <c r="AM1100" s="5"/>
      <c r="AN1100" s="5"/>
      <c r="AO1100" s="5"/>
      <c r="AP1100" s="5"/>
      <c r="AQ1100" s="5"/>
      <c r="AR1100" s="5"/>
      <c r="AS1100" s="6"/>
      <c r="AU1100" s="6"/>
      <c r="AW1100" s="6"/>
      <c r="AY1100" s="5"/>
      <c r="AZ1100" s="5"/>
      <c r="BA1100" s="5"/>
      <c r="BC1100" s="6"/>
      <c r="BE1100" s="6"/>
      <c r="BG1100" s="6"/>
      <c r="BH1100" s="5"/>
      <c r="BI1100" s="5"/>
      <c r="BJ1100" s="7"/>
    </row>
    <row r="1101" s="1" customFormat="true" ht="14.25" hidden="false" customHeight="false" outlineLevel="0" collapsed="false">
      <c r="G1101" s="2"/>
      <c r="M1101" s="2"/>
      <c r="Z1101" s="3"/>
      <c r="AL1101" s="4"/>
      <c r="AM1101" s="5"/>
      <c r="AN1101" s="5"/>
      <c r="AO1101" s="5"/>
      <c r="AP1101" s="5"/>
      <c r="AQ1101" s="5"/>
      <c r="AR1101" s="5"/>
      <c r="AS1101" s="6"/>
      <c r="AU1101" s="6"/>
      <c r="AW1101" s="6"/>
      <c r="AY1101" s="5"/>
      <c r="AZ1101" s="5"/>
      <c r="BA1101" s="5"/>
      <c r="BC1101" s="6"/>
      <c r="BE1101" s="6"/>
      <c r="BG1101" s="6"/>
      <c r="BH1101" s="5"/>
      <c r="BI1101" s="5"/>
      <c r="BJ1101" s="7"/>
    </row>
    <row r="1102" s="1" customFormat="true" ht="14.25" hidden="false" customHeight="false" outlineLevel="0" collapsed="false">
      <c r="G1102" s="2"/>
      <c r="M1102" s="2"/>
      <c r="Z1102" s="3"/>
      <c r="AL1102" s="4"/>
      <c r="AM1102" s="5"/>
      <c r="AN1102" s="5"/>
      <c r="AO1102" s="5"/>
      <c r="AP1102" s="5"/>
      <c r="AQ1102" s="5"/>
      <c r="AR1102" s="5"/>
      <c r="AS1102" s="6"/>
      <c r="AU1102" s="6"/>
      <c r="AW1102" s="6"/>
      <c r="AY1102" s="5"/>
      <c r="AZ1102" s="5"/>
      <c r="BA1102" s="5"/>
      <c r="BC1102" s="6"/>
      <c r="BE1102" s="6"/>
      <c r="BG1102" s="6"/>
      <c r="BH1102" s="5"/>
      <c r="BI1102" s="5"/>
      <c r="BJ1102" s="7"/>
    </row>
    <row r="1103" s="1" customFormat="true" ht="14.25" hidden="false" customHeight="false" outlineLevel="0" collapsed="false">
      <c r="G1103" s="2"/>
      <c r="M1103" s="2"/>
      <c r="Z1103" s="3"/>
      <c r="AL1103" s="4"/>
      <c r="AM1103" s="5"/>
      <c r="AN1103" s="5"/>
      <c r="AO1103" s="5"/>
      <c r="AP1103" s="5"/>
      <c r="AQ1103" s="5"/>
      <c r="AR1103" s="5"/>
      <c r="AS1103" s="6"/>
      <c r="AU1103" s="6"/>
      <c r="AW1103" s="6"/>
      <c r="AY1103" s="5"/>
      <c r="AZ1103" s="5"/>
      <c r="BA1103" s="5"/>
      <c r="BC1103" s="6"/>
      <c r="BE1103" s="6"/>
      <c r="BG1103" s="6"/>
      <c r="BH1103" s="5"/>
      <c r="BI1103" s="5"/>
      <c r="BJ1103" s="7"/>
    </row>
    <row r="1104" s="1" customFormat="true" ht="14.25" hidden="false" customHeight="false" outlineLevel="0" collapsed="false">
      <c r="G1104" s="2"/>
      <c r="M1104" s="2"/>
      <c r="Z1104" s="3"/>
      <c r="AL1104" s="4"/>
      <c r="AM1104" s="5"/>
      <c r="AN1104" s="5"/>
      <c r="AO1104" s="5"/>
      <c r="AP1104" s="5"/>
      <c r="AQ1104" s="5"/>
      <c r="AR1104" s="5"/>
      <c r="AS1104" s="6"/>
      <c r="AU1104" s="6"/>
      <c r="AW1104" s="6"/>
      <c r="AY1104" s="5"/>
      <c r="AZ1104" s="5"/>
      <c r="BA1104" s="5"/>
      <c r="BC1104" s="6"/>
      <c r="BE1104" s="6"/>
      <c r="BG1104" s="6"/>
      <c r="BH1104" s="5"/>
      <c r="BI1104" s="5"/>
      <c r="BJ1104" s="7"/>
    </row>
    <row r="1105" s="1" customFormat="true" ht="14.25" hidden="false" customHeight="false" outlineLevel="0" collapsed="false">
      <c r="G1105" s="2"/>
      <c r="M1105" s="2"/>
      <c r="Z1105" s="3"/>
      <c r="AL1105" s="4"/>
      <c r="AM1105" s="5"/>
      <c r="AN1105" s="5"/>
      <c r="AO1105" s="5"/>
      <c r="AP1105" s="5"/>
      <c r="AQ1105" s="5"/>
      <c r="AR1105" s="5"/>
      <c r="AS1105" s="6"/>
      <c r="AU1105" s="6"/>
      <c r="AW1105" s="6"/>
      <c r="AY1105" s="5"/>
      <c r="AZ1105" s="5"/>
      <c r="BA1105" s="5"/>
      <c r="BC1105" s="6"/>
      <c r="BE1105" s="6"/>
      <c r="BG1105" s="6"/>
      <c r="BH1105" s="5"/>
      <c r="BI1105" s="5"/>
      <c r="BJ1105" s="7"/>
    </row>
    <row r="1106" s="1" customFormat="true" ht="14.25" hidden="false" customHeight="false" outlineLevel="0" collapsed="false">
      <c r="G1106" s="2"/>
      <c r="M1106" s="2"/>
      <c r="Z1106" s="3"/>
      <c r="AL1106" s="4"/>
      <c r="AM1106" s="5"/>
      <c r="AN1106" s="5"/>
      <c r="AO1106" s="5"/>
      <c r="AP1106" s="5"/>
      <c r="AQ1106" s="5"/>
      <c r="AR1106" s="5"/>
      <c r="AS1106" s="6"/>
      <c r="AU1106" s="6"/>
      <c r="AW1106" s="6"/>
      <c r="AY1106" s="5"/>
      <c r="AZ1106" s="5"/>
      <c r="BA1106" s="5"/>
      <c r="BC1106" s="6"/>
      <c r="BE1106" s="6"/>
      <c r="BG1106" s="6"/>
      <c r="BH1106" s="5"/>
      <c r="BI1106" s="5"/>
      <c r="BJ1106" s="7"/>
    </row>
    <row r="1107" s="1" customFormat="true" ht="14.25" hidden="false" customHeight="false" outlineLevel="0" collapsed="false">
      <c r="G1107" s="2"/>
      <c r="M1107" s="2"/>
      <c r="Z1107" s="3"/>
      <c r="AL1107" s="4"/>
      <c r="AM1107" s="5"/>
      <c r="AN1107" s="5"/>
      <c r="AO1107" s="5"/>
      <c r="AP1107" s="5"/>
      <c r="AQ1107" s="5"/>
      <c r="AR1107" s="5"/>
      <c r="AS1107" s="6"/>
      <c r="AU1107" s="6"/>
      <c r="AW1107" s="6"/>
      <c r="AY1107" s="5"/>
      <c r="AZ1107" s="5"/>
      <c r="BA1107" s="5"/>
      <c r="BC1107" s="6"/>
      <c r="BE1107" s="6"/>
      <c r="BG1107" s="6"/>
      <c r="BH1107" s="5"/>
      <c r="BI1107" s="5"/>
      <c r="BJ1107" s="7"/>
    </row>
    <row r="1108" s="1" customFormat="true" ht="14.25" hidden="false" customHeight="false" outlineLevel="0" collapsed="false">
      <c r="G1108" s="2"/>
      <c r="M1108" s="2"/>
      <c r="Z1108" s="3"/>
      <c r="AL1108" s="4"/>
      <c r="AM1108" s="5"/>
      <c r="AN1108" s="5"/>
      <c r="AO1108" s="5"/>
      <c r="AP1108" s="5"/>
      <c r="AQ1108" s="5"/>
      <c r="AR1108" s="5"/>
      <c r="AS1108" s="6"/>
      <c r="AU1108" s="6"/>
      <c r="AW1108" s="6"/>
      <c r="AY1108" s="5"/>
      <c r="AZ1108" s="5"/>
      <c r="BA1108" s="5"/>
      <c r="BC1108" s="6"/>
      <c r="BE1108" s="6"/>
      <c r="BG1108" s="6"/>
      <c r="BH1108" s="5"/>
      <c r="BI1108" s="5"/>
      <c r="BJ1108" s="7"/>
    </row>
    <row r="1109" s="1" customFormat="true" ht="14.25" hidden="false" customHeight="false" outlineLevel="0" collapsed="false">
      <c r="G1109" s="2"/>
      <c r="M1109" s="2"/>
      <c r="Z1109" s="3"/>
      <c r="AL1109" s="4"/>
      <c r="AM1109" s="5"/>
      <c r="AN1109" s="5"/>
      <c r="AO1109" s="5"/>
      <c r="AP1109" s="5"/>
      <c r="AQ1109" s="5"/>
      <c r="AR1109" s="5"/>
      <c r="AS1109" s="6"/>
      <c r="AU1109" s="6"/>
      <c r="AW1109" s="6"/>
      <c r="AY1109" s="5"/>
      <c r="AZ1109" s="5"/>
      <c r="BA1109" s="5"/>
      <c r="BC1109" s="6"/>
      <c r="BE1109" s="6"/>
      <c r="BG1109" s="6"/>
      <c r="BH1109" s="5"/>
      <c r="BI1109" s="5"/>
      <c r="BJ1109" s="7"/>
    </row>
    <row r="1110" s="1" customFormat="true" ht="14.25" hidden="false" customHeight="false" outlineLevel="0" collapsed="false">
      <c r="G1110" s="2"/>
      <c r="M1110" s="2"/>
      <c r="Z1110" s="3"/>
      <c r="AL1110" s="4"/>
      <c r="AM1110" s="5"/>
      <c r="AN1110" s="5"/>
      <c r="AO1110" s="5"/>
      <c r="AP1110" s="5"/>
      <c r="AQ1110" s="5"/>
      <c r="AR1110" s="5"/>
      <c r="AS1110" s="6"/>
      <c r="AU1110" s="6"/>
      <c r="AW1110" s="6"/>
      <c r="AY1110" s="5"/>
      <c r="AZ1110" s="5"/>
      <c r="BA1110" s="5"/>
      <c r="BC1110" s="6"/>
      <c r="BE1110" s="6"/>
      <c r="BG1110" s="6"/>
      <c r="BH1110" s="5"/>
      <c r="BI1110" s="5"/>
      <c r="BJ1110" s="7"/>
    </row>
    <row r="1111" s="1" customFormat="true" ht="14.25" hidden="false" customHeight="false" outlineLevel="0" collapsed="false">
      <c r="G1111" s="2"/>
      <c r="M1111" s="2"/>
      <c r="Z1111" s="3"/>
      <c r="AL1111" s="4"/>
      <c r="AM1111" s="5"/>
      <c r="AN1111" s="5"/>
      <c r="AO1111" s="5"/>
      <c r="AP1111" s="5"/>
      <c r="AQ1111" s="5"/>
      <c r="AR1111" s="5"/>
      <c r="AS1111" s="6"/>
      <c r="AU1111" s="6"/>
      <c r="AW1111" s="6"/>
      <c r="AY1111" s="5"/>
      <c r="AZ1111" s="5"/>
      <c r="BA1111" s="5"/>
      <c r="BC1111" s="6"/>
      <c r="BE1111" s="6"/>
      <c r="BG1111" s="6"/>
      <c r="BH1111" s="5"/>
      <c r="BI1111" s="5"/>
      <c r="BJ1111" s="7"/>
    </row>
    <row r="1112" s="1" customFormat="true" ht="14.25" hidden="false" customHeight="false" outlineLevel="0" collapsed="false">
      <c r="G1112" s="2"/>
      <c r="M1112" s="2"/>
      <c r="Z1112" s="3"/>
      <c r="AL1112" s="4"/>
      <c r="AM1112" s="5"/>
      <c r="AN1112" s="5"/>
      <c r="AO1112" s="5"/>
      <c r="AP1112" s="5"/>
      <c r="AQ1112" s="5"/>
      <c r="AR1112" s="5"/>
      <c r="AS1112" s="6"/>
      <c r="AU1112" s="6"/>
      <c r="AW1112" s="6"/>
      <c r="AY1112" s="5"/>
      <c r="AZ1112" s="5"/>
      <c r="BA1112" s="5"/>
      <c r="BC1112" s="6"/>
      <c r="BE1112" s="6"/>
      <c r="BG1112" s="6"/>
      <c r="BH1112" s="5"/>
      <c r="BI1112" s="5"/>
      <c r="BJ1112" s="7"/>
    </row>
    <row r="1113" s="1" customFormat="true" ht="14.25" hidden="false" customHeight="false" outlineLevel="0" collapsed="false">
      <c r="G1113" s="2"/>
      <c r="M1113" s="2"/>
      <c r="Z1113" s="3"/>
      <c r="AL1113" s="4"/>
      <c r="AM1113" s="5"/>
      <c r="AN1113" s="5"/>
      <c r="AO1113" s="5"/>
      <c r="AP1113" s="5"/>
      <c r="AQ1113" s="5"/>
      <c r="AR1113" s="5"/>
      <c r="AS1113" s="6"/>
      <c r="AU1113" s="6"/>
      <c r="AW1113" s="6"/>
      <c r="AY1113" s="5"/>
      <c r="AZ1113" s="5"/>
      <c r="BA1113" s="5"/>
      <c r="BC1113" s="6"/>
      <c r="BE1113" s="6"/>
      <c r="BG1113" s="6"/>
      <c r="BH1113" s="5"/>
      <c r="BI1113" s="5"/>
      <c r="BJ1113" s="7"/>
    </row>
    <row r="1114" s="1" customFormat="true" ht="14.25" hidden="false" customHeight="false" outlineLevel="0" collapsed="false">
      <c r="G1114" s="2"/>
      <c r="M1114" s="2"/>
      <c r="Z1114" s="3"/>
      <c r="AL1114" s="4"/>
      <c r="AM1114" s="5"/>
      <c r="AN1114" s="5"/>
      <c r="AO1114" s="5"/>
      <c r="AP1114" s="5"/>
      <c r="AQ1114" s="5"/>
      <c r="AR1114" s="5"/>
      <c r="AS1114" s="6"/>
      <c r="AU1114" s="6"/>
      <c r="AW1114" s="6"/>
      <c r="AY1114" s="5"/>
      <c r="AZ1114" s="5"/>
      <c r="BA1114" s="5"/>
      <c r="BC1114" s="6"/>
      <c r="BE1114" s="6"/>
      <c r="BG1114" s="6"/>
      <c r="BH1114" s="5"/>
      <c r="BI1114" s="5"/>
      <c r="BJ1114" s="7"/>
    </row>
    <row r="1115" s="1" customFormat="true" ht="14.25" hidden="false" customHeight="false" outlineLevel="0" collapsed="false">
      <c r="G1115" s="2"/>
      <c r="M1115" s="2"/>
      <c r="Z1115" s="3"/>
      <c r="AL1115" s="4"/>
      <c r="AM1115" s="5"/>
      <c r="AN1115" s="5"/>
      <c r="AO1115" s="5"/>
      <c r="AP1115" s="5"/>
      <c r="AQ1115" s="5"/>
      <c r="AR1115" s="5"/>
      <c r="AS1115" s="6"/>
      <c r="AU1115" s="6"/>
      <c r="AW1115" s="6"/>
      <c r="AY1115" s="5"/>
      <c r="AZ1115" s="5"/>
      <c r="BA1115" s="5"/>
      <c r="BC1115" s="6"/>
      <c r="BE1115" s="6"/>
      <c r="BG1115" s="6"/>
      <c r="BH1115" s="5"/>
      <c r="BI1115" s="5"/>
      <c r="BJ1115" s="7"/>
    </row>
    <row r="1116" s="1" customFormat="true" ht="14.25" hidden="false" customHeight="false" outlineLevel="0" collapsed="false">
      <c r="G1116" s="2"/>
      <c r="M1116" s="2"/>
      <c r="Z1116" s="3"/>
      <c r="AL1116" s="4"/>
      <c r="AM1116" s="5"/>
      <c r="AN1116" s="5"/>
      <c r="AO1116" s="5"/>
      <c r="AP1116" s="5"/>
      <c r="AQ1116" s="5"/>
      <c r="AR1116" s="5"/>
      <c r="AS1116" s="6"/>
      <c r="AU1116" s="6"/>
      <c r="AW1116" s="6"/>
      <c r="AY1116" s="5"/>
      <c r="AZ1116" s="5"/>
      <c r="BA1116" s="5"/>
      <c r="BC1116" s="6"/>
      <c r="BE1116" s="6"/>
      <c r="BG1116" s="6"/>
      <c r="BH1116" s="5"/>
      <c r="BI1116" s="5"/>
      <c r="BJ1116" s="7"/>
    </row>
    <row r="1117" s="1" customFormat="true" ht="14.25" hidden="false" customHeight="false" outlineLevel="0" collapsed="false">
      <c r="G1117" s="2"/>
      <c r="M1117" s="2"/>
      <c r="Z1117" s="3"/>
      <c r="AL1117" s="4"/>
      <c r="AM1117" s="5"/>
      <c r="AN1117" s="5"/>
      <c r="AO1117" s="5"/>
      <c r="AP1117" s="5"/>
      <c r="AQ1117" s="5"/>
      <c r="AR1117" s="5"/>
      <c r="AS1117" s="6"/>
      <c r="AU1117" s="6"/>
      <c r="AW1117" s="6"/>
      <c r="AY1117" s="5"/>
      <c r="AZ1117" s="5"/>
      <c r="BA1117" s="5"/>
      <c r="BC1117" s="6"/>
      <c r="BE1117" s="6"/>
      <c r="BG1117" s="6"/>
      <c r="BH1117" s="5"/>
      <c r="BI1117" s="5"/>
      <c r="BJ1117" s="7"/>
    </row>
    <row r="1118" s="1" customFormat="true" ht="14.25" hidden="false" customHeight="false" outlineLevel="0" collapsed="false">
      <c r="G1118" s="2"/>
      <c r="M1118" s="2"/>
      <c r="Z1118" s="3"/>
      <c r="AL1118" s="4"/>
      <c r="AM1118" s="5"/>
      <c r="AN1118" s="5"/>
      <c r="AO1118" s="5"/>
      <c r="AP1118" s="5"/>
      <c r="AQ1118" s="5"/>
      <c r="AR1118" s="5"/>
      <c r="AS1118" s="6"/>
      <c r="AU1118" s="6"/>
      <c r="AW1118" s="6"/>
      <c r="AY1118" s="5"/>
      <c r="AZ1118" s="5"/>
      <c r="BA1118" s="5"/>
      <c r="BC1118" s="6"/>
      <c r="BE1118" s="6"/>
      <c r="BG1118" s="6"/>
      <c r="BH1118" s="5"/>
      <c r="BI1118" s="5"/>
      <c r="BJ1118" s="7"/>
    </row>
    <row r="1119" s="1" customFormat="true" ht="14.25" hidden="false" customHeight="false" outlineLevel="0" collapsed="false">
      <c r="G1119" s="2"/>
      <c r="M1119" s="2"/>
      <c r="Z1119" s="3"/>
      <c r="AL1119" s="4"/>
      <c r="AM1119" s="5"/>
      <c r="AN1119" s="5"/>
      <c r="AO1119" s="5"/>
      <c r="AP1119" s="5"/>
      <c r="AQ1119" s="5"/>
      <c r="AR1119" s="5"/>
      <c r="AS1119" s="6"/>
      <c r="AU1119" s="6"/>
      <c r="AW1119" s="6"/>
      <c r="AY1119" s="5"/>
      <c r="AZ1119" s="5"/>
      <c r="BA1119" s="5"/>
      <c r="BC1119" s="6"/>
      <c r="BE1119" s="6"/>
      <c r="BG1119" s="6"/>
      <c r="BH1119" s="5"/>
      <c r="BI1119" s="5"/>
      <c r="BJ1119" s="7"/>
    </row>
    <row r="1120" s="1" customFormat="true" ht="14.25" hidden="false" customHeight="false" outlineLevel="0" collapsed="false">
      <c r="G1120" s="2"/>
      <c r="M1120" s="2"/>
      <c r="Z1120" s="3"/>
      <c r="AL1120" s="4"/>
      <c r="AM1120" s="5"/>
      <c r="AN1120" s="5"/>
      <c r="AO1120" s="5"/>
      <c r="AP1120" s="5"/>
      <c r="AQ1120" s="5"/>
      <c r="AR1120" s="5"/>
      <c r="AS1120" s="6"/>
      <c r="AU1120" s="6"/>
      <c r="AW1120" s="6"/>
      <c r="AY1120" s="5"/>
      <c r="AZ1120" s="5"/>
      <c r="BA1120" s="5"/>
      <c r="BC1120" s="6"/>
      <c r="BE1120" s="6"/>
      <c r="BG1120" s="6"/>
      <c r="BH1120" s="5"/>
      <c r="BI1120" s="5"/>
      <c r="BJ1120" s="7"/>
    </row>
    <row r="1121" s="1" customFormat="true" ht="14.25" hidden="false" customHeight="false" outlineLevel="0" collapsed="false">
      <c r="G1121" s="2"/>
      <c r="M1121" s="2"/>
      <c r="Z1121" s="3"/>
      <c r="AL1121" s="4"/>
      <c r="AM1121" s="5"/>
      <c r="AN1121" s="5"/>
      <c r="AO1121" s="5"/>
      <c r="AP1121" s="5"/>
      <c r="AQ1121" s="5"/>
      <c r="AR1121" s="5"/>
      <c r="AS1121" s="6"/>
      <c r="AU1121" s="6"/>
      <c r="AW1121" s="6"/>
      <c r="AY1121" s="5"/>
      <c r="AZ1121" s="5"/>
      <c r="BA1121" s="5"/>
      <c r="BC1121" s="6"/>
      <c r="BE1121" s="6"/>
      <c r="BG1121" s="6"/>
      <c r="BH1121" s="5"/>
      <c r="BI1121" s="5"/>
      <c r="BJ1121" s="7"/>
    </row>
    <row r="1122" s="1" customFormat="true" ht="14.25" hidden="false" customHeight="false" outlineLevel="0" collapsed="false">
      <c r="G1122" s="2"/>
      <c r="M1122" s="2"/>
      <c r="Z1122" s="3"/>
      <c r="AL1122" s="4"/>
      <c r="AM1122" s="5"/>
      <c r="AN1122" s="5"/>
      <c r="AO1122" s="5"/>
      <c r="AP1122" s="5"/>
      <c r="AQ1122" s="5"/>
      <c r="AR1122" s="5"/>
      <c r="AS1122" s="6"/>
      <c r="AU1122" s="6"/>
      <c r="AW1122" s="6"/>
      <c r="AY1122" s="5"/>
      <c r="AZ1122" s="5"/>
      <c r="BA1122" s="5"/>
      <c r="BC1122" s="6"/>
      <c r="BE1122" s="6"/>
      <c r="BG1122" s="6"/>
      <c r="BH1122" s="5"/>
      <c r="BI1122" s="5"/>
      <c r="BJ1122" s="7"/>
    </row>
    <row r="1123" s="1" customFormat="true" ht="14.25" hidden="false" customHeight="false" outlineLevel="0" collapsed="false">
      <c r="G1123" s="2"/>
      <c r="M1123" s="2"/>
      <c r="Z1123" s="3"/>
      <c r="AL1123" s="4"/>
      <c r="AM1123" s="5"/>
      <c r="AN1123" s="5"/>
      <c r="AO1123" s="5"/>
      <c r="AP1123" s="5"/>
      <c r="AQ1123" s="5"/>
      <c r="AR1123" s="5"/>
      <c r="AS1123" s="6"/>
      <c r="AU1123" s="6"/>
      <c r="AW1123" s="6"/>
      <c r="AY1123" s="5"/>
      <c r="AZ1123" s="5"/>
      <c r="BA1123" s="5"/>
      <c r="BC1123" s="6"/>
      <c r="BE1123" s="6"/>
      <c r="BG1123" s="6"/>
      <c r="BH1123" s="5"/>
      <c r="BI1123" s="5"/>
      <c r="BJ1123" s="7"/>
    </row>
    <row r="1124" s="1" customFormat="true" ht="14.25" hidden="false" customHeight="false" outlineLevel="0" collapsed="false">
      <c r="G1124" s="2"/>
      <c r="M1124" s="2"/>
      <c r="Z1124" s="3"/>
      <c r="AL1124" s="4"/>
      <c r="AM1124" s="5"/>
      <c r="AN1124" s="5"/>
      <c r="AO1124" s="5"/>
      <c r="AP1124" s="5"/>
      <c r="AQ1124" s="5"/>
      <c r="AR1124" s="5"/>
      <c r="AS1124" s="6"/>
      <c r="AU1124" s="6"/>
      <c r="AW1124" s="6"/>
      <c r="AY1124" s="5"/>
      <c r="AZ1124" s="5"/>
      <c r="BA1124" s="5"/>
      <c r="BC1124" s="6"/>
      <c r="BE1124" s="6"/>
      <c r="BG1124" s="6"/>
      <c r="BH1124" s="5"/>
      <c r="BI1124" s="5"/>
      <c r="BJ1124" s="7"/>
    </row>
    <row r="1125" s="1" customFormat="true" ht="14.25" hidden="false" customHeight="false" outlineLevel="0" collapsed="false">
      <c r="G1125" s="2"/>
      <c r="M1125" s="2"/>
      <c r="Z1125" s="3"/>
      <c r="AL1125" s="4"/>
      <c r="AM1125" s="5"/>
      <c r="AN1125" s="5"/>
      <c r="AO1125" s="5"/>
      <c r="AP1125" s="5"/>
      <c r="AQ1125" s="5"/>
      <c r="AR1125" s="5"/>
      <c r="AS1125" s="6"/>
      <c r="AU1125" s="6"/>
      <c r="AW1125" s="6"/>
      <c r="AY1125" s="5"/>
      <c r="AZ1125" s="5"/>
      <c r="BA1125" s="5"/>
      <c r="BC1125" s="6"/>
      <c r="BE1125" s="6"/>
      <c r="BG1125" s="6"/>
      <c r="BH1125" s="5"/>
      <c r="BI1125" s="5"/>
      <c r="BJ1125" s="7"/>
    </row>
    <row r="1126" s="1" customFormat="true" ht="14.25" hidden="false" customHeight="false" outlineLevel="0" collapsed="false">
      <c r="G1126" s="2"/>
      <c r="M1126" s="2"/>
      <c r="Z1126" s="3"/>
      <c r="AL1126" s="4"/>
      <c r="AM1126" s="5"/>
      <c r="AN1126" s="5"/>
      <c r="AO1126" s="5"/>
      <c r="AP1126" s="5"/>
      <c r="AQ1126" s="5"/>
      <c r="AR1126" s="5"/>
      <c r="AS1126" s="6"/>
      <c r="AU1126" s="6"/>
      <c r="AW1126" s="6"/>
      <c r="AY1126" s="5"/>
      <c r="AZ1126" s="5"/>
      <c r="BA1126" s="5"/>
      <c r="BC1126" s="6"/>
      <c r="BE1126" s="6"/>
      <c r="BG1126" s="6"/>
      <c r="BH1126" s="5"/>
      <c r="BI1126" s="5"/>
      <c r="BJ1126" s="7"/>
    </row>
    <row r="1127" s="1" customFormat="true" ht="14.25" hidden="false" customHeight="false" outlineLevel="0" collapsed="false">
      <c r="G1127" s="2"/>
      <c r="M1127" s="2"/>
      <c r="Z1127" s="3"/>
      <c r="AL1127" s="4"/>
      <c r="AM1127" s="5"/>
      <c r="AN1127" s="5"/>
      <c r="AO1127" s="5"/>
      <c r="AP1127" s="5"/>
      <c r="AQ1127" s="5"/>
      <c r="AR1127" s="5"/>
      <c r="AS1127" s="6"/>
      <c r="AU1127" s="6"/>
      <c r="AW1127" s="6"/>
      <c r="AY1127" s="5"/>
      <c r="AZ1127" s="5"/>
      <c r="BA1127" s="5"/>
      <c r="BC1127" s="6"/>
      <c r="BE1127" s="6"/>
      <c r="BG1127" s="6"/>
      <c r="BH1127" s="5"/>
      <c r="BI1127" s="5"/>
      <c r="BJ1127" s="7"/>
    </row>
    <row r="1128" s="1" customFormat="true" ht="14.25" hidden="false" customHeight="false" outlineLevel="0" collapsed="false">
      <c r="G1128" s="2"/>
      <c r="M1128" s="2"/>
      <c r="Z1128" s="3"/>
      <c r="AL1128" s="4"/>
      <c r="AM1128" s="5"/>
      <c r="AN1128" s="5"/>
      <c r="AO1128" s="5"/>
      <c r="AP1128" s="5"/>
      <c r="AQ1128" s="5"/>
      <c r="AR1128" s="5"/>
      <c r="AS1128" s="6"/>
      <c r="AU1128" s="6"/>
      <c r="AW1128" s="6"/>
      <c r="AY1128" s="5"/>
      <c r="AZ1128" s="5"/>
      <c r="BA1128" s="5"/>
      <c r="BC1128" s="6"/>
      <c r="BE1128" s="6"/>
      <c r="BG1128" s="6"/>
      <c r="BH1128" s="5"/>
      <c r="BI1128" s="5"/>
      <c r="BJ1128" s="7"/>
    </row>
    <row r="1129" s="1" customFormat="true" ht="14.25" hidden="false" customHeight="false" outlineLevel="0" collapsed="false">
      <c r="G1129" s="2"/>
      <c r="M1129" s="2"/>
      <c r="Z1129" s="3"/>
      <c r="AL1129" s="4"/>
      <c r="AM1129" s="5"/>
      <c r="AN1129" s="5"/>
      <c r="AO1129" s="5"/>
      <c r="AP1129" s="5"/>
      <c r="AQ1129" s="5"/>
      <c r="AR1129" s="5"/>
      <c r="AS1129" s="6"/>
      <c r="AU1129" s="6"/>
      <c r="AW1129" s="6"/>
      <c r="AY1129" s="5"/>
      <c r="AZ1129" s="5"/>
      <c r="BA1129" s="5"/>
      <c r="BC1129" s="6"/>
      <c r="BE1129" s="6"/>
      <c r="BG1129" s="6"/>
      <c r="BH1129" s="5"/>
      <c r="BI1129" s="5"/>
      <c r="BJ1129" s="7"/>
    </row>
    <row r="1130" s="1" customFormat="true" ht="14.25" hidden="false" customHeight="false" outlineLevel="0" collapsed="false">
      <c r="G1130" s="2"/>
      <c r="M1130" s="2"/>
      <c r="Z1130" s="3"/>
      <c r="AL1130" s="4"/>
      <c r="AM1130" s="5"/>
      <c r="AN1130" s="5"/>
      <c r="AO1130" s="5"/>
      <c r="AP1130" s="5"/>
      <c r="AQ1130" s="5"/>
      <c r="AR1130" s="5"/>
      <c r="AS1130" s="6"/>
      <c r="AU1130" s="6"/>
      <c r="AW1130" s="6"/>
      <c r="AY1130" s="5"/>
      <c r="AZ1130" s="5"/>
      <c r="BA1130" s="5"/>
      <c r="BC1130" s="6"/>
      <c r="BE1130" s="6"/>
      <c r="BG1130" s="6"/>
      <c r="BH1130" s="5"/>
      <c r="BI1130" s="5"/>
      <c r="BJ1130" s="7"/>
    </row>
    <row r="1131" s="1" customFormat="true" ht="14.25" hidden="false" customHeight="false" outlineLevel="0" collapsed="false">
      <c r="G1131" s="2"/>
      <c r="M1131" s="2"/>
      <c r="Z1131" s="3"/>
      <c r="AL1131" s="4"/>
      <c r="AM1131" s="5"/>
      <c r="AN1131" s="5"/>
      <c r="AO1131" s="5"/>
      <c r="AP1131" s="5"/>
      <c r="AQ1131" s="5"/>
      <c r="AR1131" s="5"/>
      <c r="AS1131" s="6"/>
      <c r="AU1131" s="6"/>
      <c r="AW1131" s="6"/>
      <c r="AY1131" s="5"/>
      <c r="AZ1131" s="5"/>
      <c r="BA1131" s="5"/>
      <c r="BC1131" s="6"/>
      <c r="BE1131" s="6"/>
      <c r="BG1131" s="6"/>
      <c r="BH1131" s="5"/>
      <c r="BI1131" s="5"/>
      <c r="BJ1131" s="7"/>
    </row>
    <row r="1132" s="1" customFormat="true" ht="14.25" hidden="false" customHeight="false" outlineLevel="0" collapsed="false">
      <c r="G1132" s="2"/>
      <c r="M1132" s="2"/>
      <c r="Z1132" s="3"/>
      <c r="AL1132" s="4"/>
      <c r="AM1132" s="5"/>
      <c r="AN1132" s="5"/>
      <c r="AO1132" s="5"/>
      <c r="AP1132" s="5"/>
      <c r="AQ1132" s="5"/>
      <c r="AR1132" s="5"/>
      <c r="AS1132" s="6"/>
      <c r="AU1132" s="6"/>
      <c r="AW1132" s="6"/>
      <c r="AY1132" s="5"/>
      <c r="AZ1132" s="5"/>
      <c r="BA1132" s="5"/>
      <c r="BC1132" s="6"/>
      <c r="BE1132" s="6"/>
      <c r="BG1132" s="6"/>
      <c r="BH1132" s="5"/>
      <c r="BI1132" s="5"/>
      <c r="BJ1132" s="7"/>
    </row>
    <row r="1133" s="1" customFormat="true" ht="14.25" hidden="false" customHeight="false" outlineLevel="0" collapsed="false">
      <c r="G1133" s="2"/>
      <c r="M1133" s="2"/>
      <c r="Z1133" s="3"/>
      <c r="AL1133" s="4"/>
      <c r="AM1133" s="5"/>
      <c r="AN1133" s="5"/>
      <c r="AO1133" s="5"/>
      <c r="AP1133" s="5"/>
      <c r="AQ1133" s="5"/>
      <c r="AR1133" s="5"/>
      <c r="AS1133" s="6"/>
      <c r="AU1133" s="6"/>
      <c r="AW1133" s="6"/>
      <c r="AY1133" s="5"/>
      <c r="AZ1133" s="5"/>
      <c r="BA1133" s="5"/>
      <c r="BC1133" s="6"/>
      <c r="BE1133" s="6"/>
      <c r="BG1133" s="6"/>
      <c r="BH1133" s="5"/>
      <c r="BI1133" s="5"/>
      <c r="BJ1133" s="7"/>
    </row>
    <row r="1134" s="1" customFormat="true" ht="14.25" hidden="false" customHeight="false" outlineLevel="0" collapsed="false">
      <c r="G1134" s="2"/>
      <c r="M1134" s="2"/>
      <c r="Z1134" s="3"/>
      <c r="AL1134" s="4"/>
      <c r="AM1134" s="5"/>
      <c r="AN1134" s="5"/>
      <c r="AO1134" s="5"/>
      <c r="AP1134" s="5"/>
      <c r="AQ1134" s="5"/>
      <c r="AR1134" s="5"/>
      <c r="AS1134" s="6"/>
      <c r="AU1134" s="6"/>
      <c r="AW1134" s="6"/>
      <c r="AY1134" s="5"/>
      <c r="AZ1134" s="5"/>
      <c r="BA1134" s="5"/>
      <c r="BC1134" s="6"/>
      <c r="BE1134" s="6"/>
      <c r="BG1134" s="6"/>
      <c r="BH1134" s="5"/>
      <c r="BI1134" s="5"/>
      <c r="BJ1134" s="7"/>
    </row>
    <row r="1135" s="1" customFormat="true" ht="14.25" hidden="false" customHeight="false" outlineLevel="0" collapsed="false">
      <c r="G1135" s="2"/>
      <c r="M1135" s="2"/>
      <c r="Z1135" s="3"/>
      <c r="AL1135" s="4"/>
      <c r="AM1135" s="5"/>
      <c r="AN1135" s="5"/>
      <c r="AO1135" s="5"/>
      <c r="AP1135" s="5"/>
      <c r="AQ1135" s="5"/>
      <c r="AR1135" s="5"/>
      <c r="AS1135" s="6"/>
      <c r="AU1135" s="6"/>
      <c r="AW1135" s="6"/>
      <c r="AY1135" s="5"/>
      <c r="AZ1135" s="5"/>
      <c r="BA1135" s="5"/>
      <c r="BC1135" s="6"/>
      <c r="BE1135" s="6"/>
      <c r="BG1135" s="6"/>
      <c r="BH1135" s="5"/>
      <c r="BI1135" s="5"/>
      <c r="BJ1135" s="7"/>
    </row>
    <row r="1136" s="1" customFormat="true" ht="14.25" hidden="false" customHeight="false" outlineLevel="0" collapsed="false">
      <c r="G1136" s="2"/>
      <c r="M1136" s="2"/>
      <c r="Z1136" s="3"/>
      <c r="AL1136" s="4"/>
      <c r="AM1136" s="5"/>
      <c r="AN1136" s="5"/>
      <c r="AO1136" s="5"/>
      <c r="AP1136" s="5"/>
      <c r="AQ1136" s="5"/>
      <c r="AR1136" s="5"/>
      <c r="AS1136" s="6"/>
      <c r="AU1136" s="6"/>
      <c r="AW1136" s="6"/>
      <c r="AY1136" s="5"/>
      <c r="AZ1136" s="5"/>
      <c r="BA1136" s="5"/>
      <c r="BC1136" s="6"/>
      <c r="BE1136" s="6"/>
      <c r="BG1136" s="6"/>
      <c r="BH1136" s="5"/>
      <c r="BI1136" s="5"/>
      <c r="BJ1136" s="7"/>
    </row>
    <row r="1137" s="1" customFormat="true" ht="14.25" hidden="false" customHeight="false" outlineLevel="0" collapsed="false">
      <c r="G1137" s="2"/>
      <c r="M1137" s="2"/>
      <c r="Z1137" s="3"/>
      <c r="AL1137" s="4"/>
      <c r="AM1137" s="5"/>
      <c r="AN1137" s="5"/>
      <c r="AO1137" s="5"/>
      <c r="AP1137" s="5"/>
      <c r="AQ1137" s="5"/>
      <c r="AR1137" s="5"/>
      <c r="AS1137" s="6"/>
      <c r="AU1137" s="6"/>
      <c r="AW1137" s="6"/>
      <c r="AY1137" s="5"/>
      <c r="AZ1137" s="5"/>
      <c r="BA1137" s="5"/>
      <c r="BC1137" s="6"/>
      <c r="BE1137" s="6"/>
      <c r="BG1137" s="6"/>
      <c r="BH1137" s="5"/>
      <c r="BI1137" s="5"/>
      <c r="BJ1137" s="7"/>
    </row>
    <row r="1138" s="1" customFormat="true" ht="14.25" hidden="false" customHeight="false" outlineLevel="0" collapsed="false">
      <c r="G1138" s="2"/>
      <c r="M1138" s="2"/>
      <c r="Z1138" s="3"/>
      <c r="AL1138" s="4"/>
      <c r="AM1138" s="5"/>
      <c r="AN1138" s="5"/>
      <c r="AO1138" s="5"/>
      <c r="AP1138" s="5"/>
      <c r="AQ1138" s="5"/>
      <c r="AR1138" s="5"/>
      <c r="AS1138" s="6"/>
      <c r="AU1138" s="6"/>
      <c r="AW1138" s="6"/>
      <c r="AY1138" s="5"/>
      <c r="AZ1138" s="5"/>
      <c r="BA1138" s="5"/>
      <c r="BC1138" s="6"/>
      <c r="BE1138" s="6"/>
      <c r="BG1138" s="6"/>
      <c r="BH1138" s="5"/>
      <c r="BI1138" s="5"/>
      <c r="BJ1138" s="7"/>
    </row>
    <row r="1139" s="1" customFormat="true" ht="14.25" hidden="false" customHeight="false" outlineLevel="0" collapsed="false">
      <c r="G1139" s="2"/>
      <c r="M1139" s="2"/>
      <c r="Z1139" s="3"/>
      <c r="AL1139" s="4"/>
      <c r="AM1139" s="5"/>
      <c r="AN1139" s="5"/>
      <c r="AO1139" s="5"/>
      <c r="AP1139" s="5"/>
      <c r="AQ1139" s="5"/>
      <c r="AR1139" s="5"/>
      <c r="AS1139" s="6"/>
      <c r="AU1139" s="6"/>
      <c r="AW1139" s="6"/>
      <c r="AY1139" s="5"/>
      <c r="AZ1139" s="5"/>
      <c r="BA1139" s="5"/>
      <c r="BC1139" s="6"/>
      <c r="BE1139" s="6"/>
      <c r="BG1139" s="6"/>
      <c r="BH1139" s="5"/>
      <c r="BI1139" s="5"/>
      <c r="BJ1139" s="7"/>
    </row>
    <row r="1140" s="1" customFormat="true" ht="14.25" hidden="false" customHeight="false" outlineLevel="0" collapsed="false">
      <c r="G1140" s="2"/>
      <c r="M1140" s="2"/>
      <c r="Z1140" s="3"/>
      <c r="AL1140" s="4"/>
      <c r="AM1140" s="5"/>
      <c r="AN1140" s="5"/>
      <c r="AO1140" s="5"/>
      <c r="AP1140" s="5"/>
      <c r="AQ1140" s="5"/>
      <c r="AR1140" s="5"/>
      <c r="AS1140" s="6"/>
      <c r="AU1140" s="6"/>
      <c r="AW1140" s="6"/>
      <c r="AY1140" s="5"/>
      <c r="AZ1140" s="5"/>
      <c r="BA1140" s="5"/>
      <c r="BC1140" s="6"/>
      <c r="BE1140" s="6"/>
      <c r="BG1140" s="6"/>
      <c r="BH1140" s="5"/>
      <c r="BI1140" s="5"/>
      <c r="BJ1140" s="7"/>
    </row>
    <row r="1141" s="1" customFormat="true" ht="14.25" hidden="false" customHeight="false" outlineLevel="0" collapsed="false">
      <c r="G1141" s="2"/>
      <c r="M1141" s="2"/>
      <c r="Z1141" s="3"/>
      <c r="AL1141" s="4"/>
      <c r="AM1141" s="5"/>
      <c r="AN1141" s="5"/>
      <c r="AO1141" s="5"/>
      <c r="AP1141" s="5"/>
      <c r="AQ1141" s="5"/>
      <c r="AR1141" s="5"/>
      <c r="AS1141" s="6"/>
      <c r="AU1141" s="6"/>
      <c r="AW1141" s="6"/>
      <c r="AY1141" s="5"/>
      <c r="AZ1141" s="5"/>
      <c r="BA1141" s="5"/>
      <c r="BC1141" s="6"/>
      <c r="BE1141" s="6"/>
      <c r="BG1141" s="6"/>
      <c r="BH1141" s="5"/>
      <c r="BI1141" s="5"/>
      <c r="BJ1141" s="7"/>
    </row>
    <row r="1142" s="1" customFormat="true" ht="14.25" hidden="false" customHeight="false" outlineLevel="0" collapsed="false">
      <c r="G1142" s="2"/>
      <c r="M1142" s="2"/>
      <c r="Z1142" s="3"/>
      <c r="AL1142" s="4"/>
      <c r="AM1142" s="5"/>
      <c r="AN1142" s="5"/>
      <c r="AO1142" s="5"/>
      <c r="AP1142" s="5"/>
      <c r="AQ1142" s="5"/>
      <c r="AR1142" s="5"/>
      <c r="AS1142" s="6"/>
      <c r="AU1142" s="6"/>
      <c r="AW1142" s="6"/>
      <c r="AY1142" s="5"/>
      <c r="AZ1142" s="5"/>
      <c r="BA1142" s="5"/>
      <c r="BC1142" s="6"/>
      <c r="BE1142" s="6"/>
      <c r="BG1142" s="6"/>
      <c r="BH1142" s="5"/>
      <c r="BI1142" s="5"/>
      <c r="BJ1142" s="7"/>
    </row>
    <row r="1143" s="1" customFormat="true" ht="14.25" hidden="false" customHeight="false" outlineLevel="0" collapsed="false">
      <c r="G1143" s="2"/>
      <c r="M1143" s="2"/>
      <c r="Z1143" s="3"/>
      <c r="AL1143" s="4"/>
      <c r="AM1143" s="5"/>
      <c r="AN1143" s="5"/>
      <c r="AO1143" s="5"/>
      <c r="AP1143" s="5"/>
      <c r="AQ1143" s="5"/>
      <c r="AR1143" s="5"/>
      <c r="AS1143" s="6"/>
      <c r="AU1143" s="6"/>
      <c r="AW1143" s="6"/>
      <c r="AY1143" s="5"/>
      <c r="AZ1143" s="5"/>
      <c r="BA1143" s="5"/>
      <c r="BC1143" s="6"/>
      <c r="BE1143" s="6"/>
      <c r="BG1143" s="6"/>
      <c r="BH1143" s="5"/>
      <c r="BI1143" s="5"/>
      <c r="BJ1143" s="7"/>
    </row>
    <row r="1144" s="1" customFormat="true" ht="14.25" hidden="false" customHeight="false" outlineLevel="0" collapsed="false">
      <c r="G1144" s="2"/>
      <c r="M1144" s="2"/>
      <c r="Z1144" s="3"/>
      <c r="AL1144" s="4"/>
      <c r="AM1144" s="5"/>
      <c r="AN1144" s="5"/>
      <c r="AO1144" s="5"/>
      <c r="AP1144" s="5"/>
      <c r="AQ1144" s="5"/>
      <c r="AR1144" s="5"/>
      <c r="AS1144" s="6"/>
      <c r="AU1144" s="6"/>
      <c r="AW1144" s="6"/>
      <c r="AY1144" s="5"/>
      <c r="AZ1144" s="5"/>
      <c r="BA1144" s="5"/>
      <c r="BC1144" s="6"/>
      <c r="BE1144" s="6"/>
      <c r="BG1144" s="6"/>
      <c r="BH1144" s="5"/>
      <c r="BI1144" s="5"/>
      <c r="BJ1144" s="7"/>
    </row>
    <row r="1145" s="1" customFormat="true" ht="14.25" hidden="false" customHeight="false" outlineLevel="0" collapsed="false">
      <c r="G1145" s="2"/>
      <c r="M1145" s="2"/>
      <c r="Z1145" s="3"/>
      <c r="AL1145" s="4"/>
      <c r="AM1145" s="5"/>
      <c r="AN1145" s="5"/>
      <c r="AO1145" s="5"/>
      <c r="AP1145" s="5"/>
      <c r="AQ1145" s="5"/>
      <c r="AR1145" s="5"/>
      <c r="AS1145" s="6"/>
      <c r="AU1145" s="6"/>
      <c r="AW1145" s="6"/>
      <c r="AY1145" s="5"/>
      <c r="AZ1145" s="5"/>
      <c r="BA1145" s="5"/>
      <c r="BC1145" s="6"/>
      <c r="BE1145" s="6"/>
      <c r="BG1145" s="6"/>
      <c r="BH1145" s="5"/>
      <c r="BI1145" s="5"/>
      <c r="BJ1145" s="7"/>
    </row>
    <row r="1146" s="1" customFormat="true" ht="14.25" hidden="false" customHeight="false" outlineLevel="0" collapsed="false">
      <c r="G1146" s="2"/>
      <c r="M1146" s="2"/>
      <c r="Z1146" s="3"/>
      <c r="AL1146" s="4"/>
      <c r="AM1146" s="5"/>
      <c r="AN1146" s="5"/>
      <c r="AO1146" s="5"/>
      <c r="AP1146" s="5"/>
      <c r="AQ1146" s="5"/>
      <c r="AR1146" s="5"/>
      <c r="AS1146" s="6"/>
      <c r="AU1146" s="6"/>
      <c r="AW1146" s="6"/>
      <c r="AY1146" s="5"/>
      <c r="AZ1146" s="5"/>
      <c r="BA1146" s="5"/>
      <c r="BC1146" s="6"/>
      <c r="BE1146" s="6"/>
      <c r="BG1146" s="6"/>
      <c r="BH1146" s="5"/>
      <c r="BI1146" s="5"/>
      <c r="BJ1146" s="7"/>
    </row>
    <row r="1147" s="1" customFormat="true" ht="14.25" hidden="false" customHeight="false" outlineLevel="0" collapsed="false">
      <c r="G1147" s="2"/>
      <c r="M1147" s="2"/>
      <c r="Z1147" s="3"/>
      <c r="AL1147" s="4"/>
      <c r="AM1147" s="5"/>
      <c r="AN1147" s="5"/>
      <c r="AO1147" s="5"/>
      <c r="AP1147" s="5"/>
      <c r="AQ1147" s="5"/>
      <c r="AR1147" s="5"/>
      <c r="AS1147" s="6"/>
      <c r="AU1147" s="6"/>
      <c r="AW1147" s="6"/>
      <c r="AY1147" s="5"/>
      <c r="AZ1147" s="5"/>
      <c r="BA1147" s="5"/>
      <c r="BC1147" s="6"/>
      <c r="BE1147" s="6"/>
      <c r="BG1147" s="6"/>
      <c r="BH1147" s="5"/>
      <c r="BI1147" s="5"/>
      <c r="BJ1147" s="7"/>
    </row>
    <row r="1148" s="1" customFormat="true" ht="14.25" hidden="false" customHeight="false" outlineLevel="0" collapsed="false">
      <c r="G1148" s="2"/>
      <c r="M1148" s="2"/>
      <c r="Z1148" s="3"/>
      <c r="AL1148" s="4"/>
      <c r="AM1148" s="5"/>
      <c r="AN1148" s="5"/>
      <c r="AO1148" s="5"/>
      <c r="AP1148" s="5"/>
      <c r="AQ1148" s="5"/>
      <c r="AR1148" s="5"/>
      <c r="AS1148" s="6"/>
      <c r="AU1148" s="6"/>
      <c r="AW1148" s="6"/>
      <c r="AY1148" s="5"/>
      <c r="AZ1148" s="5"/>
      <c r="BA1148" s="5"/>
      <c r="BC1148" s="6"/>
      <c r="BE1148" s="6"/>
      <c r="BG1148" s="6"/>
      <c r="BH1148" s="5"/>
      <c r="BI1148" s="5"/>
      <c r="BJ1148" s="7"/>
    </row>
    <row r="1149" s="1" customFormat="true" ht="14.25" hidden="false" customHeight="false" outlineLevel="0" collapsed="false">
      <c r="G1149" s="2"/>
      <c r="M1149" s="2"/>
      <c r="Z1149" s="3"/>
      <c r="AL1149" s="4"/>
      <c r="AM1149" s="5"/>
      <c r="AN1149" s="5"/>
      <c r="AO1149" s="5"/>
      <c r="AP1149" s="5"/>
      <c r="AQ1149" s="5"/>
      <c r="AR1149" s="5"/>
      <c r="AS1149" s="6"/>
      <c r="AU1149" s="6"/>
      <c r="AW1149" s="6"/>
      <c r="AY1149" s="5"/>
      <c r="AZ1149" s="5"/>
      <c r="BA1149" s="5"/>
      <c r="BC1149" s="6"/>
      <c r="BE1149" s="6"/>
      <c r="BG1149" s="6"/>
      <c r="BH1149" s="5"/>
      <c r="BI1149" s="5"/>
      <c r="BJ1149" s="7"/>
    </row>
    <row r="1150" s="1" customFormat="true" ht="14.25" hidden="false" customHeight="false" outlineLevel="0" collapsed="false">
      <c r="G1150" s="2"/>
      <c r="M1150" s="2"/>
      <c r="Z1150" s="3"/>
      <c r="AL1150" s="4"/>
      <c r="AM1150" s="5"/>
      <c r="AN1150" s="5"/>
      <c r="AO1150" s="5"/>
      <c r="AP1150" s="5"/>
      <c r="AQ1150" s="5"/>
      <c r="AR1150" s="5"/>
      <c r="AS1150" s="6"/>
      <c r="AU1150" s="6"/>
      <c r="AW1150" s="6"/>
      <c r="AY1150" s="5"/>
      <c r="AZ1150" s="5"/>
      <c r="BA1150" s="5"/>
      <c r="BC1150" s="6"/>
      <c r="BE1150" s="6"/>
      <c r="BG1150" s="6"/>
      <c r="BH1150" s="5"/>
      <c r="BI1150" s="5"/>
      <c r="BJ1150" s="7"/>
    </row>
    <row r="1151" s="1" customFormat="true" ht="14.25" hidden="false" customHeight="false" outlineLevel="0" collapsed="false">
      <c r="G1151" s="2"/>
      <c r="M1151" s="2"/>
      <c r="Z1151" s="3"/>
      <c r="AL1151" s="4"/>
      <c r="AM1151" s="5"/>
      <c r="AN1151" s="5"/>
      <c r="AO1151" s="5"/>
      <c r="AP1151" s="5"/>
      <c r="AQ1151" s="5"/>
      <c r="AR1151" s="5"/>
      <c r="AS1151" s="6"/>
      <c r="AU1151" s="6"/>
      <c r="AW1151" s="6"/>
      <c r="AY1151" s="5"/>
      <c r="AZ1151" s="5"/>
      <c r="BA1151" s="5"/>
      <c r="BC1151" s="6"/>
      <c r="BE1151" s="6"/>
      <c r="BG1151" s="6"/>
      <c r="BH1151" s="5"/>
      <c r="BI1151" s="5"/>
      <c r="BJ1151" s="7"/>
    </row>
    <row r="1152" s="1" customFormat="true" ht="14.25" hidden="false" customHeight="false" outlineLevel="0" collapsed="false">
      <c r="G1152" s="2"/>
      <c r="M1152" s="2"/>
      <c r="Z1152" s="3"/>
      <c r="AL1152" s="4"/>
      <c r="AM1152" s="5"/>
      <c r="AN1152" s="5"/>
      <c r="AO1152" s="5"/>
      <c r="AP1152" s="5"/>
      <c r="AQ1152" s="5"/>
      <c r="AR1152" s="5"/>
      <c r="AS1152" s="6"/>
      <c r="AU1152" s="6"/>
      <c r="AW1152" s="6"/>
      <c r="AY1152" s="5"/>
      <c r="AZ1152" s="5"/>
      <c r="BA1152" s="5"/>
      <c r="BC1152" s="6"/>
      <c r="BE1152" s="6"/>
      <c r="BG1152" s="6"/>
      <c r="BH1152" s="5"/>
      <c r="BI1152" s="5"/>
      <c r="BJ1152" s="7"/>
    </row>
    <row r="1153" s="1" customFormat="true" ht="14.25" hidden="false" customHeight="false" outlineLevel="0" collapsed="false">
      <c r="G1153" s="2"/>
      <c r="M1153" s="2"/>
      <c r="Z1153" s="3"/>
      <c r="AL1153" s="4"/>
      <c r="AM1153" s="5"/>
      <c r="AN1153" s="5"/>
      <c r="AO1153" s="5"/>
      <c r="AP1153" s="5"/>
      <c r="AQ1153" s="5"/>
      <c r="AR1153" s="5"/>
      <c r="AS1153" s="6"/>
      <c r="AU1153" s="6"/>
      <c r="AW1153" s="6"/>
      <c r="AY1153" s="5"/>
      <c r="AZ1153" s="5"/>
      <c r="BA1153" s="5"/>
      <c r="BC1153" s="6"/>
      <c r="BE1153" s="6"/>
      <c r="BG1153" s="6"/>
      <c r="BH1153" s="5"/>
      <c r="BI1153" s="5"/>
      <c r="BJ1153" s="7"/>
    </row>
    <row r="1154" s="1" customFormat="true" ht="14.25" hidden="false" customHeight="false" outlineLevel="0" collapsed="false">
      <c r="G1154" s="2"/>
      <c r="M1154" s="2"/>
      <c r="Z1154" s="3"/>
      <c r="AL1154" s="4"/>
      <c r="AM1154" s="5"/>
      <c r="AN1154" s="5"/>
      <c r="AO1154" s="5"/>
      <c r="AP1154" s="5"/>
      <c r="AQ1154" s="5"/>
      <c r="AR1154" s="5"/>
      <c r="AS1154" s="6"/>
      <c r="AU1154" s="6"/>
      <c r="AW1154" s="6"/>
      <c r="AY1154" s="5"/>
      <c r="AZ1154" s="5"/>
      <c r="BA1154" s="5"/>
      <c r="BC1154" s="6"/>
      <c r="BE1154" s="6"/>
      <c r="BG1154" s="6"/>
      <c r="BH1154" s="5"/>
      <c r="BI1154" s="5"/>
      <c r="BJ1154" s="7"/>
    </row>
    <row r="1155" s="1" customFormat="true" ht="14.25" hidden="false" customHeight="false" outlineLevel="0" collapsed="false">
      <c r="G1155" s="2"/>
      <c r="M1155" s="2"/>
      <c r="Z1155" s="3"/>
      <c r="AL1155" s="4"/>
      <c r="AM1155" s="5"/>
      <c r="AN1155" s="5"/>
      <c r="AO1155" s="5"/>
      <c r="AP1155" s="5"/>
      <c r="AQ1155" s="5"/>
      <c r="AR1155" s="5"/>
      <c r="AS1155" s="6"/>
      <c r="AU1155" s="6"/>
      <c r="AW1155" s="6"/>
      <c r="AY1155" s="5"/>
      <c r="AZ1155" s="5"/>
      <c r="BA1155" s="5"/>
      <c r="BC1155" s="6"/>
      <c r="BE1155" s="6"/>
      <c r="BG1155" s="6"/>
      <c r="BH1155" s="5"/>
      <c r="BI1155" s="5"/>
      <c r="BJ1155" s="7"/>
    </row>
    <row r="1156" s="1" customFormat="true" ht="14.25" hidden="false" customHeight="false" outlineLevel="0" collapsed="false">
      <c r="G1156" s="2"/>
      <c r="M1156" s="2"/>
      <c r="Z1156" s="3"/>
      <c r="AL1156" s="4"/>
      <c r="AM1156" s="5"/>
      <c r="AN1156" s="5"/>
      <c r="AO1156" s="5"/>
      <c r="AP1156" s="5"/>
      <c r="AQ1156" s="5"/>
      <c r="AR1156" s="5"/>
      <c r="AS1156" s="6"/>
      <c r="AU1156" s="6"/>
      <c r="AW1156" s="6"/>
      <c r="AY1156" s="5"/>
      <c r="AZ1156" s="5"/>
      <c r="BA1156" s="5"/>
      <c r="BC1156" s="6"/>
      <c r="BE1156" s="6"/>
      <c r="BG1156" s="6"/>
      <c r="BH1156" s="5"/>
      <c r="BI1156" s="5"/>
      <c r="BJ1156" s="7"/>
    </row>
    <row r="1157" s="1" customFormat="true" ht="14.25" hidden="false" customHeight="false" outlineLevel="0" collapsed="false">
      <c r="G1157" s="2"/>
      <c r="M1157" s="2"/>
      <c r="Z1157" s="3"/>
      <c r="AL1157" s="4"/>
      <c r="AM1157" s="5"/>
      <c r="AN1157" s="5"/>
      <c r="AO1157" s="5"/>
      <c r="AP1157" s="5"/>
      <c r="AQ1157" s="5"/>
      <c r="AR1157" s="5"/>
      <c r="AS1157" s="6"/>
      <c r="AU1157" s="6"/>
      <c r="AW1157" s="6"/>
      <c r="AY1157" s="5"/>
      <c r="AZ1157" s="5"/>
      <c r="BA1157" s="5"/>
      <c r="BC1157" s="6"/>
      <c r="BE1157" s="6"/>
      <c r="BG1157" s="6"/>
      <c r="BH1157" s="5"/>
      <c r="BI1157" s="5"/>
      <c r="BJ1157" s="7"/>
    </row>
    <row r="1158" s="1" customFormat="true" ht="14.25" hidden="false" customHeight="false" outlineLevel="0" collapsed="false">
      <c r="G1158" s="2"/>
      <c r="M1158" s="2"/>
      <c r="Z1158" s="3"/>
      <c r="AL1158" s="4"/>
      <c r="AM1158" s="5"/>
      <c r="AN1158" s="5"/>
      <c r="AO1158" s="5"/>
      <c r="AP1158" s="5"/>
      <c r="AQ1158" s="5"/>
      <c r="AR1158" s="5"/>
      <c r="AS1158" s="6"/>
      <c r="AU1158" s="6"/>
      <c r="AW1158" s="6"/>
      <c r="AY1158" s="5"/>
      <c r="AZ1158" s="5"/>
      <c r="BA1158" s="5"/>
      <c r="BC1158" s="6"/>
      <c r="BE1158" s="6"/>
      <c r="BG1158" s="6"/>
      <c r="BH1158" s="5"/>
      <c r="BI1158" s="5"/>
      <c r="BJ1158" s="7"/>
    </row>
    <row r="1159" s="1" customFormat="true" ht="14.25" hidden="false" customHeight="false" outlineLevel="0" collapsed="false">
      <c r="G1159" s="2"/>
      <c r="M1159" s="2"/>
      <c r="Z1159" s="3"/>
      <c r="AL1159" s="4"/>
      <c r="AM1159" s="5"/>
      <c r="AN1159" s="5"/>
      <c r="AO1159" s="5"/>
      <c r="AP1159" s="5"/>
      <c r="AQ1159" s="5"/>
      <c r="AR1159" s="5"/>
      <c r="AS1159" s="6"/>
      <c r="AU1159" s="6"/>
      <c r="AW1159" s="6"/>
      <c r="AY1159" s="5"/>
      <c r="AZ1159" s="5"/>
      <c r="BA1159" s="5"/>
      <c r="BC1159" s="6"/>
      <c r="BE1159" s="6"/>
      <c r="BG1159" s="6"/>
      <c r="BH1159" s="5"/>
      <c r="BI1159" s="5"/>
      <c r="BJ1159" s="7"/>
    </row>
    <row r="1160" s="1" customFormat="true" ht="14.25" hidden="false" customHeight="false" outlineLevel="0" collapsed="false">
      <c r="G1160" s="2"/>
      <c r="M1160" s="2"/>
      <c r="Z1160" s="3"/>
      <c r="AL1160" s="4"/>
      <c r="AM1160" s="5"/>
      <c r="AN1160" s="5"/>
      <c r="AO1160" s="5"/>
      <c r="AP1160" s="5"/>
      <c r="AQ1160" s="5"/>
      <c r="AR1160" s="5"/>
      <c r="AS1160" s="6"/>
      <c r="AU1160" s="6"/>
      <c r="AW1160" s="6"/>
      <c r="AY1160" s="5"/>
      <c r="AZ1160" s="5"/>
      <c r="BA1160" s="5"/>
      <c r="BC1160" s="6"/>
      <c r="BE1160" s="6"/>
      <c r="BG1160" s="6"/>
      <c r="BH1160" s="5"/>
      <c r="BI1160" s="5"/>
      <c r="BJ1160" s="7"/>
    </row>
    <row r="1161" s="1" customFormat="true" ht="14.25" hidden="false" customHeight="false" outlineLevel="0" collapsed="false">
      <c r="G1161" s="2"/>
      <c r="M1161" s="2"/>
      <c r="Z1161" s="3"/>
      <c r="AL1161" s="4"/>
      <c r="AM1161" s="5"/>
      <c r="AN1161" s="5"/>
      <c r="AO1161" s="5"/>
      <c r="AP1161" s="5"/>
      <c r="AQ1161" s="5"/>
      <c r="AR1161" s="5"/>
      <c r="AS1161" s="6"/>
      <c r="AU1161" s="6"/>
      <c r="AW1161" s="6"/>
      <c r="AY1161" s="5"/>
      <c r="AZ1161" s="5"/>
      <c r="BA1161" s="5"/>
      <c r="BC1161" s="6"/>
      <c r="BE1161" s="6"/>
      <c r="BG1161" s="6"/>
      <c r="BH1161" s="5"/>
      <c r="BI1161" s="5"/>
      <c r="BJ1161" s="7"/>
    </row>
    <row r="1162" s="1" customFormat="true" ht="14.25" hidden="false" customHeight="false" outlineLevel="0" collapsed="false">
      <c r="G1162" s="2"/>
      <c r="M1162" s="2"/>
      <c r="Z1162" s="3"/>
      <c r="AL1162" s="4"/>
      <c r="AM1162" s="5"/>
      <c r="AN1162" s="5"/>
      <c r="AO1162" s="5"/>
      <c r="AP1162" s="5"/>
      <c r="AQ1162" s="5"/>
      <c r="AR1162" s="5"/>
      <c r="AS1162" s="6"/>
      <c r="AU1162" s="6"/>
      <c r="AW1162" s="6"/>
      <c r="AY1162" s="5"/>
      <c r="AZ1162" s="5"/>
      <c r="BA1162" s="5"/>
      <c r="BC1162" s="6"/>
      <c r="BE1162" s="6"/>
      <c r="BG1162" s="6"/>
      <c r="BH1162" s="5"/>
      <c r="BI1162" s="5"/>
      <c r="BJ1162" s="7"/>
    </row>
    <row r="1163" s="1" customFormat="true" ht="14.25" hidden="false" customHeight="false" outlineLevel="0" collapsed="false">
      <c r="G1163" s="2"/>
      <c r="M1163" s="2"/>
      <c r="Z1163" s="3"/>
      <c r="AL1163" s="4"/>
      <c r="AM1163" s="5"/>
      <c r="AN1163" s="5"/>
      <c r="AO1163" s="5"/>
      <c r="AP1163" s="5"/>
      <c r="AQ1163" s="5"/>
      <c r="AR1163" s="5"/>
      <c r="AS1163" s="6"/>
      <c r="AU1163" s="6"/>
      <c r="AW1163" s="6"/>
      <c r="AY1163" s="5"/>
      <c r="AZ1163" s="5"/>
      <c r="BA1163" s="5"/>
      <c r="BC1163" s="6"/>
      <c r="BE1163" s="6"/>
      <c r="BG1163" s="6"/>
      <c r="BH1163" s="5"/>
      <c r="BI1163" s="5"/>
      <c r="BJ1163" s="7"/>
    </row>
    <row r="1164" s="1" customFormat="true" ht="14.25" hidden="false" customHeight="false" outlineLevel="0" collapsed="false">
      <c r="G1164" s="2"/>
      <c r="M1164" s="2"/>
      <c r="Z1164" s="3"/>
      <c r="AL1164" s="4"/>
      <c r="AM1164" s="5"/>
      <c r="AN1164" s="5"/>
      <c r="AO1164" s="5"/>
      <c r="AP1164" s="5"/>
      <c r="AQ1164" s="5"/>
      <c r="AR1164" s="5"/>
      <c r="AS1164" s="6"/>
      <c r="AU1164" s="6"/>
      <c r="AW1164" s="6"/>
      <c r="AY1164" s="5"/>
      <c r="AZ1164" s="5"/>
      <c r="BA1164" s="5"/>
      <c r="BC1164" s="6"/>
      <c r="BE1164" s="6"/>
      <c r="BG1164" s="6"/>
      <c r="BH1164" s="5"/>
      <c r="BI1164" s="5"/>
      <c r="BJ1164" s="7"/>
    </row>
    <row r="1165" s="1" customFormat="true" ht="14.25" hidden="false" customHeight="false" outlineLevel="0" collapsed="false">
      <c r="G1165" s="2"/>
      <c r="M1165" s="2"/>
      <c r="Z1165" s="3"/>
      <c r="AL1165" s="4"/>
      <c r="AM1165" s="5"/>
      <c r="AN1165" s="5"/>
      <c r="AO1165" s="5"/>
      <c r="AP1165" s="5"/>
      <c r="AQ1165" s="5"/>
      <c r="AR1165" s="5"/>
      <c r="AS1165" s="6"/>
      <c r="AU1165" s="6"/>
      <c r="AW1165" s="6"/>
      <c r="AY1165" s="5"/>
      <c r="AZ1165" s="5"/>
      <c r="BA1165" s="5"/>
      <c r="BC1165" s="6"/>
      <c r="BE1165" s="6"/>
      <c r="BG1165" s="6"/>
      <c r="BH1165" s="5"/>
      <c r="BI1165" s="5"/>
      <c r="BJ1165" s="7"/>
    </row>
    <row r="1166" s="1" customFormat="true" ht="14.25" hidden="false" customHeight="false" outlineLevel="0" collapsed="false">
      <c r="G1166" s="2"/>
      <c r="M1166" s="2"/>
      <c r="Z1166" s="3"/>
      <c r="AL1166" s="4"/>
      <c r="AM1166" s="5"/>
      <c r="AN1166" s="5"/>
      <c r="AO1166" s="5"/>
      <c r="AP1166" s="5"/>
      <c r="AQ1166" s="5"/>
      <c r="AR1166" s="5"/>
      <c r="AS1166" s="6"/>
      <c r="AU1166" s="6"/>
      <c r="AW1166" s="6"/>
      <c r="AY1166" s="5"/>
      <c r="AZ1166" s="5"/>
      <c r="BA1166" s="5"/>
      <c r="BC1166" s="6"/>
      <c r="BE1166" s="6"/>
      <c r="BG1166" s="6"/>
      <c r="BH1166" s="5"/>
      <c r="BI1166" s="5"/>
      <c r="BJ1166" s="7"/>
    </row>
    <row r="1167" s="1" customFormat="true" ht="14.25" hidden="false" customHeight="false" outlineLevel="0" collapsed="false">
      <c r="G1167" s="2"/>
      <c r="M1167" s="2"/>
      <c r="Z1167" s="3"/>
      <c r="AL1167" s="4"/>
      <c r="AM1167" s="5"/>
      <c r="AN1167" s="5"/>
      <c r="AO1167" s="5"/>
      <c r="AP1167" s="5"/>
      <c r="AQ1167" s="5"/>
      <c r="AR1167" s="5"/>
      <c r="AS1167" s="6"/>
      <c r="AU1167" s="6"/>
      <c r="AW1167" s="6"/>
      <c r="AY1167" s="5"/>
      <c r="AZ1167" s="5"/>
      <c r="BA1167" s="5"/>
      <c r="BC1167" s="6"/>
      <c r="BE1167" s="6"/>
      <c r="BG1167" s="6"/>
      <c r="BH1167" s="5"/>
      <c r="BI1167" s="5"/>
      <c r="BJ1167" s="7"/>
    </row>
    <row r="1168" s="1" customFormat="true" ht="14.25" hidden="false" customHeight="false" outlineLevel="0" collapsed="false">
      <c r="G1168" s="2"/>
      <c r="M1168" s="2"/>
      <c r="Z1168" s="3"/>
      <c r="AL1168" s="4"/>
      <c r="AM1168" s="5"/>
      <c r="AN1168" s="5"/>
      <c r="AO1168" s="5"/>
      <c r="AP1168" s="5"/>
      <c r="AQ1168" s="5"/>
      <c r="AR1168" s="5"/>
      <c r="AS1168" s="6"/>
      <c r="AU1168" s="6"/>
      <c r="AW1168" s="6"/>
      <c r="AY1168" s="5"/>
      <c r="AZ1168" s="5"/>
      <c r="BA1168" s="5"/>
      <c r="BC1168" s="6"/>
      <c r="BE1168" s="6"/>
      <c r="BG1168" s="6"/>
      <c r="BH1168" s="5"/>
      <c r="BI1168" s="5"/>
      <c r="BJ1168" s="7"/>
    </row>
    <row r="1169" s="1" customFormat="true" ht="14.25" hidden="false" customHeight="false" outlineLevel="0" collapsed="false">
      <c r="G1169" s="2"/>
      <c r="M1169" s="2"/>
      <c r="Z1169" s="3"/>
      <c r="AL1169" s="4"/>
      <c r="AM1169" s="5"/>
      <c r="AN1169" s="5"/>
      <c r="AO1169" s="5"/>
      <c r="AP1169" s="5"/>
      <c r="AQ1169" s="5"/>
      <c r="AR1169" s="5"/>
      <c r="AS1169" s="6"/>
      <c r="AU1169" s="6"/>
      <c r="AW1169" s="6"/>
      <c r="AY1169" s="5"/>
      <c r="AZ1169" s="5"/>
      <c r="BA1169" s="5"/>
      <c r="BC1169" s="6"/>
      <c r="BE1169" s="6"/>
      <c r="BG1169" s="6"/>
      <c r="BH1169" s="5"/>
      <c r="BI1169" s="5"/>
      <c r="BJ1169" s="7"/>
    </row>
    <row r="1170" s="1" customFormat="true" ht="14.25" hidden="false" customHeight="false" outlineLevel="0" collapsed="false">
      <c r="G1170" s="2"/>
      <c r="M1170" s="2"/>
      <c r="Z1170" s="3"/>
      <c r="AL1170" s="4"/>
      <c r="AM1170" s="5"/>
      <c r="AN1170" s="5"/>
      <c r="AO1170" s="5"/>
      <c r="AP1170" s="5"/>
      <c r="AQ1170" s="5"/>
      <c r="AR1170" s="5"/>
      <c r="AS1170" s="6"/>
      <c r="AU1170" s="6"/>
      <c r="AW1170" s="6"/>
      <c r="AY1170" s="5"/>
      <c r="AZ1170" s="5"/>
      <c r="BA1170" s="5"/>
      <c r="BC1170" s="6"/>
      <c r="BE1170" s="6"/>
      <c r="BG1170" s="6"/>
      <c r="BH1170" s="5"/>
      <c r="BI1170" s="5"/>
      <c r="BJ1170" s="7"/>
    </row>
    <row r="1171" s="1" customFormat="true" ht="14.25" hidden="false" customHeight="false" outlineLevel="0" collapsed="false">
      <c r="G1171" s="2"/>
      <c r="M1171" s="2"/>
      <c r="Z1171" s="3"/>
      <c r="AL1171" s="4"/>
      <c r="AM1171" s="5"/>
      <c r="AN1171" s="5"/>
      <c r="AO1171" s="5"/>
      <c r="AP1171" s="5"/>
      <c r="AQ1171" s="5"/>
      <c r="AR1171" s="5"/>
      <c r="AS1171" s="6"/>
      <c r="AU1171" s="6"/>
      <c r="AW1171" s="6"/>
      <c r="AY1171" s="5"/>
      <c r="AZ1171" s="5"/>
      <c r="BA1171" s="5"/>
      <c r="BC1171" s="6"/>
      <c r="BE1171" s="6"/>
      <c r="BG1171" s="6"/>
      <c r="BH1171" s="5"/>
      <c r="BI1171" s="5"/>
      <c r="BJ1171" s="7"/>
    </row>
    <row r="1172" s="1" customFormat="true" ht="14.25" hidden="false" customHeight="false" outlineLevel="0" collapsed="false">
      <c r="G1172" s="2"/>
      <c r="M1172" s="2"/>
      <c r="Z1172" s="3"/>
      <c r="AL1172" s="4"/>
      <c r="AM1172" s="5"/>
      <c r="AN1172" s="5"/>
      <c r="AO1172" s="5"/>
      <c r="AP1172" s="5"/>
      <c r="AQ1172" s="5"/>
      <c r="AR1172" s="5"/>
      <c r="AS1172" s="6"/>
      <c r="AU1172" s="6"/>
      <c r="AW1172" s="6"/>
      <c r="AY1172" s="5"/>
      <c r="AZ1172" s="5"/>
      <c r="BA1172" s="5"/>
      <c r="BC1172" s="6"/>
      <c r="BE1172" s="6"/>
      <c r="BG1172" s="6"/>
      <c r="BH1172" s="5"/>
      <c r="BI1172" s="5"/>
      <c r="BJ1172" s="7"/>
    </row>
    <row r="1173" s="1" customFormat="true" ht="14.25" hidden="false" customHeight="false" outlineLevel="0" collapsed="false">
      <c r="G1173" s="2"/>
      <c r="M1173" s="2"/>
      <c r="Z1173" s="3"/>
      <c r="AL1173" s="4"/>
      <c r="AM1173" s="5"/>
      <c r="AN1173" s="5"/>
      <c r="AO1173" s="5"/>
      <c r="AP1173" s="5"/>
      <c r="AQ1173" s="5"/>
      <c r="AR1173" s="5"/>
      <c r="AS1173" s="6"/>
      <c r="AU1173" s="6"/>
      <c r="AW1173" s="6"/>
      <c r="AY1173" s="5"/>
      <c r="AZ1173" s="5"/>
      <c r="BA1173" s="5"/>
      <c r="BC1173" s="6"/>
      <c r="BE1173" s="6"/>
      <c r="BG1173" s="6"/>
      <c r="BH1173" s="5"/>
      <c r="BI1173" s="5"/>
      <c r="BJ1173" s="7"/>
    </row>
    <row r="1174" s="1" customFormat="true" ht="14.25" hidden="false" customHeight="false" outlineLevel="0" collapsed="false">
      <c r="G1174" s="2"/>
      <c r="M1174" s="2"/>
      <c r="Z1174" s="3"/>
      <c r="AL1174" s="4"/>
      <c r="AM1174" s="5"/>
      <c r="AN1174" s="5"/>
      <c r="AO1174" s="5"/>
      <c r="AP1174" s="5"/>
      <c r="AQ1174" s="5"/>
      <c r="AR1174" s="5"/>
      <c r="AS1174" s="6"/>
      <c r="AU1174" s="6"/>
      <c r="AW1174" s="6"/>
      <c r="AY1174" s="5"/>
      <c r="AZ1174" s="5"/>
      <c r="BA1174" s="5"/>
      <c r="BC1174" s="6"/>
      <c r="BE1174" s="6"/>
      <c r="BG1174" s="6"/>
      <c r="BH1174" s="5"/>
      <c r="BI1174" s="5"/>
      <c r="BJ1174" s="7"/>
    </row>
    <row r="1175" s="1" customFormat="true" ht="14.25" hidden="false" customHeight="false" outlineLevel="0" collapsed="false">
      <c r="G1175" s="2"/>
      <c r="M1175" s="2"/>
      <c r="Z1175" s="3"/>
      <c r="AL1175" s="4"/>
      <c r="AM1175" s="5"/>
      <c r="AN1175" s="5"/>
      <c r="AO1175" s="5"/>
      <c r="AP1175" s="5"/>
      <c r="AQ1175" s="5"/>
      <c r="AR1175" s="5"/>
      <c r="AS1175" s="6"/>
      <c r="AU1175" s="6"/>
      <c r="AW1175" s="6"/>
      <c r="AY1175" s="5"/>
      <c r="AZ1175" s="5"/>
      <c r="BA1175" s="5"/>
      <c r="BC1175" s="6"/>
      <c r="BE1175" s="6"/>
      <c r="BG1175" s="6"/>
      <c r="BH1175" s="5"/>
      <c r="BI1175" s="5"/>
      <c r="BJ1175" s="7"/>
    </row>
    <row r="1176" s="1" customFormat="true" ht="14.25" hidden="false" customHeight="false" outlineLevel="0" collapsed="false">
      <c r="G1176" s="2"/>
      <c r="M1176" s="2"/>
      <c r="Z1176" s="3"/>
      <c r="AL1176" s="4"/>
      <c r="AM1176" s="5"/>
      <c r="AN1176" s="5"/>
      <c r="AO1176" s="5"/>
      <c r="AP1176" s="5"/>
      <c r="AQ1176" s="5"/>
      <c r="AR1176" s="5"/>
      <c r="AS1176" s="6"/>
      <c r="AU1176" s="6"/>
      <c r="AW1176" s="6"/>
      <c r="AY1176" s="5"/>
      <c r="AZ1176" s="5"/>
      <c r="BA1176" s="5"/>
      <c r="BC1176" s="6"/>
      <c r="BE1176" s="6"/>
      <c r="BG1176" s="6"/>
      <c r="BH1176" s="5"/>
      <c r="BI1176" s="5"/>
      <c r="BJ1176" s="7"/>
    </row>
    <row r="1177" s="1" customFormat="true" ht="14.25" hidden="false" customHeight="false" outlineLevel="0" collapsed="false">
      <c r="G1177" s="2"/>
      <c r="M1177" s="2"/>
      <c r="Z1177" s="3"/>
      <c r="AL1177" s="4"/>
      <c r="AM1177" s="5"/>
      <c r="AN1177" s="5"/>
      <c r="AO1177" s="5"/>
      <c r="AP1177" s="5"/>
      <c r="AQ1177" s="5"/>
      <c r="AR1177" s="5"/>
      <c r="AS1177" s="6"/>
      <c r="AU1177" s="6"/>
      <c r="AW1177" s="6"/>
      <c r="AY1177" s="5"/>
      <c r="AZ1177" s="5"/>
      <c r="BA1177" s="5"/>
      <c r="BC1177" s="6"/>
      <c r="BE1177" s="6"/>
      <c r="BG1177" s="6"/>
      <c r="BH1177" s="5"/>
      <c r="BI1177" s="5"/>
      <c r="BJ1177" s="7"/>
    </row>
    <row r="1178" s="1" customFormat="true" ht="14.25" hidden="false" customHeight="false" outlineLevel="0" collapsed="false">
      <c r="G1178" s="2"/>
      <c r="M1178" s="2"/>
      <c r="Z1178" s="3"/>
      <c r="AL1178" s="4"/>
      <c r="AM1178" s="5"/>
      <c r="AN1178" s="5"/>
      <c r="AO1178" s="5"/>
      <c r="AP1178" s="5"/>
      <c r="AQ1178" s="5"/>
      <c r="AR1178" s="5"/>
      <c r="AS1178" s="6"/>
      <c r="AU1178" s="6"/>
      <c r="AW1178" s="6"/>
      <c r="AY1178" s="5"/>
      <c r="AZ1178" s="5"/>
      <c r="BA1178" s="5"/>
      <c r="BC1178" s="6"/>
      <c r="BE1178" s="6"/>
      <c r="BG1178" s="6"/>
      <c r="BH1178" s="5"/>
      <c r="BI1178" s="5"/>
      <c r="BJ1178" s="7"/>
    </row>
    <row r="1179" s="1" customFormat="true" ht="14.25" hidden="false" customHeight="false" outlineLevel="0" collapsed="false">
      <c r="G1179" s="2"/>
      <c r="M1179" s="2"/>
      <c r="Z1179" s="3"/>
      <c r="AL1179" s="4"/>
      <c r="AM1179" s="5"/>
      <c r="AN1179" s="5"/>
      <c r="AO1179" s="5"/>
      <c r="AP1179" s="5"/>
      <c r="AQ1179" s="5"/>
      <c r="AR1179" s="5"/>
      <c r="AS1179" s="6"/>
      <c r="AU1179" s="6"/>
      <c r="AW1179" s="6"/>
      <c r="AY1179" s="5"/>
      <c r="AZ1179" s="5"/>
      <c r="BA1179" s="5"/>
      <c r="BC1179" s="6"/>
      <c r="BE1179" s="6"/>
      <c r="BG1179" s="6"/>
      <c r="BH1179" s="5"/>
      <c r="BI1179" s="5"/>
      <c r="BJ1179" s="7"/>
    </row>
    <row r="1180" s="1" customFormat="true" ht="14.25" hidden="false" customHeight="false" outlineLevel="0" collapsed="false">
      <c r="G1180" s="2"/>
      <c r="M1180" s="2"/>
      <c r="Z1180" s="3"/>
      <c r="AL1180" s="4"/>
      <c r="AM1180" s="5"/>
      <c r="AN1180" s="5"/>
      <c r="AO1180" s="5"/>
      <c r="AP1180" s="5"/>
      <c r="AQ1180" s="5"/>
      <c r="AR1180" s="5"/>
      <c r="AS1180" s="6"/>
      <c r="AU1180" s="6"/>
      <c r="AW1180" s="6"/>
      <c r="AY1180" s="5"/>
      <c r="AZ1180" s="5"/>
      <c r="BA1180" s="5"/>
      <c r="BC1180" s="6"/>
      <c r="BE1180" s="6"/>
      <c r="BG1180" s="6"/>
      <c r="BH1180" s="5"/>
      <c r="BI1180" s="5"/>
      <c r="BJ1180" s="7"/>
    </row>
    <row r="1181" s="1" customFormat="true" ht="14.25" hidden="false" customHeight="false" outlineLevel="0" collapsed="false">
      <c r="G1181" s="2"/>
      <c r="M1181" s="2"/>
      <c r="Z1181" s="3"/>
      <c r="AL1181" s="4"/>
      <c r="AM1181" s="5"/>
      <c r="AN1181" s="5"/>
      <c r="AO1181" s="5"/>
      <c r="AP1181" s="5"/>
      <c r="AQ1181" s="5"/>
      <c r="AR1181" s="5"/>
      <c r="AS1181" s="6"/>
      <c r="AU1181" s="6"/>
      <c r="AW1181" s="6"/>
      <c r="AY1181" s="5"/>
      <c r="AZ1181" s="5"/>
      <c r="BA1181" s="5"/>
      <c r="BC1181" s="6"/>
      <c r="BE1181" s="6"/>
      <c r="BG1181" s="6"/>
      <c r="BH1181" s="5"/>
      <c r="BI1181" s="5"/>
      <c r="BJ1181" s="7"/>
    </row>
    <row r="1182" s="1" customFormat="true" ht="14.25" hidden="false" customHeight="false" outlineLevel="0" collapsed="false">
      <c r="G1182" s="2"/>
      <c r="M1182" s="2"/>
      <c r="Z1182" s="3"/>
      <c r="AL1182" s="4"/>
      <c r="AM1182" s="5"/>
      <c r="AN1182" s="5"/>
      <c r="AO1182" s="5"/>
      <c r="AP1182" s="5"/>
      <c r="AQ1182" s="5"/>
      <c r="AR1182" s="5"/>
      <c r="AS1182" s="6"/>
      <c r="AU1182" s="6"/>
      <c r="AW1182" s="6"/>
      <c r="AY1182" s="5"/>
      <c r="AZ1182" s="5"/>
      <c r="BA1182" s="5"/>
      <c r="BC1182" s="6"/>
      <c r="BE1182" s="6"/>
      <c r="BG1182" s="6"/>
      <c r="BH1182" s="5"/>
      <c r="BI1182" s="5"/>
      <c r="BJ1182" s="7"/>
    </row>
    <row r="1183" s="1" customFormat="true" ht="14.25" hidden="false" customHeight="false" outlineLevel="0" collapsed="false">
      <c r="G1183" s="2"/>
      <c r="M1183" s="2"/>
      <c r="Z1183" s="3"/>
      <c r="AL1183" s="4"/>
      <c r="AM1183" s="5"/>
      <c r="AN1183" s="5"/>
      <c r="AO1183" s="5"/>
      <c r="AP1183" s="5"/>
      <c r="AQ1183" s="5"/>
      <c r="AR1183" s="5"/>
      <c r="AS1183" s="6"/>
      <c r="AU1183" s="6"/>
      <c r="AW1183" s="6"/>
      <c r="AY1183" s="5"/>
      <c r="AZ1183" s="5"/>
      <c r="BA1183" s="5"/>
      <c r="BC1183" s="6"/>
      <c r="BE1183" s="6"/>
      <c r="BG1183" s="6"/>
      <c r="BH1183" s="5"/>
      <c r="BI1183" s="5"/>
      <c r="BJ1183" s="7"/>
    </row>
    <row r="1184" s="1" customFormat="true" ht="14.25" hidden="false" customHeight="false" outlineLevel="0" collapsed="false">
      <c r="G1184" s="2"/>
      <c r="M1184" s="2"/>
      <c r="Z1184" s="3"/>
      <c r="AL1184" s="4"/>
      <c r="AM1184" s="5"/>
      <c r="AN1184" s="5"/>
      <c r="AO1184" s="5"/>
      <c r="AP1184" s="5"/>
      <c r="AQ1184" s="5"/>
      <c r="AR1184" s="5"/>
      <c r="AS1184" s="6"/>
      <c r="AU1184" s="6"/>
      <c r="AW1184" s="6"/>
      <c r="AY1184" s="5"/>
      <c r="AZ1184" s="5"/>
      <c r="BA1184" s="5"/>
      <c r="BC1184" s="6"/>
      <c r="BE1184" s="6"/>
      <c r="BG1184" s="6"/>
      <c r="BH1184" s="5"/>
      <c r="BI1184" s="5"/>
      <c r="BJ1184" s="7"/>
    </row>
    <row r="1185" s="1" customFormat="true" ht="14.25" hidden="false" customHeight="false" outlineLevel="0" collapsed="false">
      <c r="G1185" s="2"/>
      <c r="M1185" s="2"/>
      <c r="Z1185" s="3"/>
      <c r="AL1185" s="4"/>
      <c r="AM1185" s="5"/>
      <c r="AN1185" s="5"/>
      <c r="AO1185" s="5"/>
      <c r="AP1185" s="5"/>
      <c r="AQ1185" s="5"/>
      <c r="AR1185" s="5"/>
      <c r="AS1185" s="6"/>
      <c r="AU1185" s="6"/>
      <c r="AW1185" s="6"/>
      <c r="AY1185" s="5"/>
      <c r="AZ1185" s="5"/>
      <c r="BA1185" s="5"/>
      <c r="BC1185" s="6"/>
      <c r="BE1185" s="6"/>
      <c r="BG1185" s="6"/>
      <c r="BH1185" s="5"/>
      <c r="BI1185" s="5"/>
      <c r="BJ1185" s="7"/>
    </row>
    <row r="1186" s="1" customFormat="true" ht="14.25" hidden="false" customHeight="false" outlineLevel="0" collapsed="false">
      <c r="G1186" s="2"/>
      <c r="M1186" s="2"/>
      <c r="Z1186" s="3"/>
      <c r="AL1186" s="4"/>
      <c r="AM1186" s="5"/>
      <c r="AN1186" s="5"/>
      <c r="AO1186" s="5"/>
      <c r="AP1186" s="5"/>
      <c r="AQ1186" s="5"/>
      <c r="AR1186" s="5"/>
      <c r="AS1186" s="6"/>
      <c r="AU1186" s="6"/>
      <c r="AW1186" s="6"/>
      <c r="AY1186" s="5"/>
      <c r="AZ1186" s="5"/>
      <c r="BA1186" s="5"/>
      <c r="BC1186" s="6"/>
      <c r="BE1186" s="6"/>
      <c r="BG1186" s="6"/>
      <c r="BH1186" s="5"/>
      <c r="BI1186" s="5"/>
      <c r="BJ1186" s="7"/>
    </row>
    <row r="1187" s="1" customFormat="true" ht="14.25" hidden="false" customHeight="false" outlineLevel="0" collapsed="false">
      <c r="G1187" s="2"/>
      <c r="M1187" s="2"/>
      <c r="Z1187" s="3"/>
      <c r="AL1187" s="4"/>
      <c r="AM1187" s="5"/>
      <c r="AN1187" s="5"/>
      <c r="AO1187" s="5"/>
      <c r="AP1187" s="5"/>
      <c r="AQ1187" s="5"/>
      <c r="AR1187" s="5"/>
      <c r="AS1187" s="6"/>
      <c r="AU1187" s="6"/>
      <c r="AW1187" s="6"/>
      <c r="AY1187" s="5"/>
      <c r="AZ1187" s="5"/>
      <c r="BA1187" s="5"/>
      <c r="BC1187" s="6"/>
      <c r="BE1187" s="6"/>
      <c r="BG1187" s="6"/>
      <c r="BH1187" s="5"/>
      <c r="BI1187" s="5"/>
      <c r="BJ1187" s="7"/>
    </row>
    <row r="1188" s="1" customFormat="true" ht="14.25" hidden="false" customHeight="false" outlineLevel="0" collapsed="false">
      <c r="G1188" s="2"/>
      <c r="M1188" s="2"/>
      <c r="Z1188" s="3"/>
      <c r="AL1188" s="4"/>
      <c r="AM1188" s="5"/>
      <c r="AN1188" s="5"/>
      <c r="AO1188" s="5"/>
      <c r="AP1188" s="5"/>
      <c r="AQ1188" s="5"/>
      <c r="AR1188" s="5"/>
      <c r="AS1188" s="6"/>
      <c r="AU1188" s="6"/>
      <c r="AW1188" s="6"/>
      <c r="AY1188" s="5"/>
      <c r="AZ1188" s="5"/>
      <c r="BA1188" s="5"/>
      <c r="BC1188" s="6"/>
      <c r="BE1188" s="6"/>
      <c r="BG1188" s="6"/>
      <c r="BH1188" s="5"/>
      <c r="BI1188" s="5"/>
      <c r="BJ1188" s="7"/>
    </row>
    <row r="1189" s="1" customFormat="true" ht="14.25" hidden="false" customHeight="false" outlineLevel="0" collapsed="false">
      <c r="G1189" s="2"/>
      <c r="M1189" s="2"/>
      <c r="Z1189" s="3"/>
      <c r="AL1189" s="4"/>
      <c r="AM1189" s="5"/>
      <c r="AN1189" s="5"/>
      <c r="AO1189" s="5"/>
      <c r="AP1189" s="5"/>
      <c r="AQ1189" s="5"/>
      <c r="AR1189" s="5"/>
      <c r="AS1189" s="6"/>
      <c r="AU1189" s="6"/>
      <c r="AW1189" s="6"/>
      <c r="AY1189" s="5"/>
      <c r="AZ1189" s="5"/>
      <c r="BA1189" s="5"/>
      <c r="BC1189" s="6"/>
      <c r="BE1189" s="6"/>
      <c r="BG1189" s="6"/>
      <c r="BH1189" s="5"/>
      <c r="BI1189" s="5"/>
      <c r="BJ1189" s="7"/>
    </row>
    <row r="1190" s="1" customFormat="true" ht="14.25" hidden="false" customHeight="false" outlineLevel="0" collapsed="false">
      <c r="G1190" s="2"/>
      <c r="M1190" s="2"/>
      <c r="Z1190" s="3"/>
      <c r="AL1190" s="4"/>
      <c r="AM1190" s="5"/>
      <c r="AN1190" s="5"/>
      <c r="AO1190" s="5"/>
      <c r="AP1190" s="5"/>
      <c r="AQ1190" s="5"/>
      <c r="AR1190" s="5"/>
      <c r="AS1190" s="6"/>
      <c r="AU1190" s="6"/>
      <c r="AW1190" s="6"/>
      <c r="AY1190" s="5"/>
      <c r="AZ1190" s="5"/>
      <c r="BA1190" s="5"/>
      <c r="BC1190" s="6"/>
      <c r="BE1190" s="6"/>
      <c r="BG1190" s="6"/>
      <c r="BH1190" s="5"/>
      <c r="BI1190" s="5"/>
      <c r="BJ1190" s="7"/>
    </row>
    <row r="1191" s="1" customFormat="true" ht="14.25" hidden="false" customHeight="false" outlineLevel="0" collapsed="false">
      <c r="G1191" s="2"/>
      <c r="M1191" s="2"/>
      <c r="Z1191" s="3"/>
      <c r="AL1191" s="4"/>
      <c r="AM1191" s="5"/>
      <c r="AN1191" s="5"/>
      <c r="AO1191" s="5"/>
      <c r="AP1191" s="5"/>
      <c r="AQ1191" s="5"/>
      <c r="AR1191" s="5"/>
      <c r="AS1191" s="6"/>
      <c r="AU1191" s="6"/>
      <c r="AW1191" s="6"/>
      <c r="AY1191" s="5"/>
      <c r="AZ1191" s="5"/>
      <c r="BA1191" s="5"/>
      <c r="BC1191" s="6"/>
      <c r="BE1191" s="6"/>
      <c r="BG1191" s="6"/>
      <c r="BH1191" s="5"/>
      <c r="BI1191" s="5"/>
      <c r="BJ1191" s="7"/>
    </row>
    <row r="1192" s="1" customFormat="true" ht="14.25" hidden="false" customHeight="false" outlineLevel="0" collapsed="false">
      <c r="G1192" s="2"/>
      <c r="M1192" s="2"/>
      <c r="Z1192" s="3"/>
      <c r="AL1192" s="4"/>
      <c r="AM1192" s="5"/>
      <c r="AN1192" s="5"/>
      <c r="AO1192" s="5"/>
      <c r="AP1192" s="5"/>
      <c r="AQ1192" s="5"/>
      <c r="AR1192" s="5"/>
      <c r="AS1192" s="6"/>
      <c r="AU1192" s="6"/>
      <c r="AW1192" s="6"/>
      <c r="AY1192" s="5"/>
      <c r="AZ1192" s="5"/>
      <c r="BA1192" s="5"/>
      <c r="BC1192" s="6"/>
      <c r="BE1192" s="6"/>
      <c r="BG1192" s="6"/>
      <c r="BH1192" s="5"/>
      <c r="BI1192" s="5"/>
      <c r="BJ1192" s="7"/>
    </row>
    <row r="1193" s="1" customFormat="true" ht="14.25" hidden="false" customHeight="false" outlineLevel="0" collapsed="false">
      <c r="G1193" s="2"/>
      <c r="M1193" s="2"/>
      <c r="Z1193" s="3"/>
      <c r="AL1193" s="4"/>
      <c r="AM1193" s="5"/>
      <c r="AN1193" s="5"/>
      <c r="AO1193" s="5"/>
      <c r="AP1193" s="5"/>
      <c r="AQ1193" s="5"/>
      <c r="AR1193" s="5"/>
      <c r="AS1193" s="6"/>
      <c r="AU1193" s="6"/>
      <c r="AW1193" s="6"/>
      <c r="AY1193" s="5"/>
      <c r="AZ1193" s="5"/>
      <c r="BA1193" s="5"/>
      <c r="BC1193" s="6"/>
      <c r="BE1193" s="6"/>
      <c r="BG1193" s="6"/>
      <c r="BH1193" s="5"/>
      <c r="BI1193" s="5"/>
      <c r="BJ1193" s="7"/>
    </row>
    <row r="1194" s="1" customFormat="true" ht="14.25" hidden="false" customHeight="false" outlineLevel="0" collapsed="false">
      <c r="G1194" s="2"/>
      <c r="M1194" s="2"/>
      <c r="Z1194" s="3"/>
      <c r="AL1194" s="4"/>
      <c r="AM1194" s="5"/>
      <c r="AN1194" s="5"/>
      <c r="AO1194" s="5"/>
      <c r="AP1194" s="5"/>
      <c r="AQ1194" s="5"/>
      <c r="AR1194" s="5"/>
      <c r="AS1194" s="6"/>
      <c r="AU1194" s="6"/>
      <c r="AW1194" s="6"/>
      <c r="AY1194" s="5"/>
      <c r="AZ1194" s="5"/>
      <c r="BA1194" s="5"/>
      <c r="BC1194" s="6"/>
      <c r="BE1194" s="6"/>
      <c r="BG1194" s="6"/>
      <c r="BH1194" s="5"/>
      <c r="BI1194" s="5"/>
      <c r="BJ1194" s="7"/>
    </row>
    <row r="1195" s="1" customFormat="true" ht="14.25" hidden="false" customHeight="false" outlineLevel="0" collapsed="false">
      <c r="G1195" s="2"/>
      <c r="M1195" s="2"/>
      <c r="Z1195" s="3"/>
      <c r="AL1195" s="4"/>
      <c r="AM1195" s="5"/>
      <c r="AN1195" s="5"/>
      <c r="AO1195" s="5"/>
      <c r="AP1195" s="5"/>
      <c r="AQ1195" s="5"/>
      <c r="AR1195" s="5"/>
      <c r="AS1195" s="6"/>
      <c r="AU1195" s="6"/>
      <c r="AW1195" s="6"/>
      <c r="AY1195" s="5"/>
      <c r="AZ1195" s="5"/>
      <c r="BA1195" s="5"/>
      <c r="BC1195" s="6"/>
      <c r="BE1195" s="6"/>
      <c r="BG1195" s="6"/>
      <c r="BH1195" s="5"/>
      <c r="BI1195" s="5"/>
      <c r="BJ1195" s="7"/>
    </row>
  </sheetData>
  <autoFilter ref="A1:BJ195">
    <filterColumn colId="4">
      <filters>
        <filter val="&quot;Студентски&quot;"/>
      </filters>
    </filterColumn>
  </autoFilter>
  <conditionalFormatting sqref="BJ82">
    <cfRule type="expression" priority="2" aboveAverage="0" equalAverage="0" bottom="0" percent="0" rank="0" text="" dxfId="2">
      <formula>LEN(TRIM(BJ82))=0</formula>
    </cfRule>
  </conditionalFormatting>
  <conditionalFormatting sqref="BJ76">
    <cfRule type="expression" priority="3" aboveAverage="0" equalAverage="0" bottom="0" percent="0" rank="0" text="" dxfId="3">
      <formula>LEN(TRIM(BJ76))=0</formula>
    </cfRule>
  </conditionalFormatting>
  <conditionalFormatting sqref="BJ72:BJ74">
    <cfRule type="expression" priority="4" aboveAverage="0" equalAverage="0" bottom="0" percent="0" rank="0" text="" dxfId="4">
      <formula>LEN(TRIM(BJ72))=0</formula>
    </cfRule>
  </conditionalFormatting>
  <conditionalFormatting sqref="BJ65:BJ68">
    <cfRule type="expression" priority="5" aboveAverage="0" equalAverage="0" bottom="0" percent="0" rank="0" text="" dxfId="5">
      <formula>LEN(TRIM(BJ65))=0</formula>
    </cfRule>
  </conditionalFormatting>
  <conditionalFormatting sqref="BJ60">
    <cfRule type="expression" priority="6" aboveAverage="0" equalAverage="0" bottom="0" percent="0" rank="0" text="" dxfId="6">
      <formula>LEN(TRIM(BJ60))=0</formula>
    </cfRule>
  </conditionalFormatting>
  <conditionalFormatting sqref="BJ55:BJ56">
    <cfRule type="expression" priority="7" aboveAverage="0" equalAverage="0" bottom="0" percent="0" rank="0" text="" dxfId="7">
      <formula>LEN(TRIM(BJ55))=0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1" topLeftCell="B166" activePane="bottomRight" state="frozen"/>
      <selection pane="topLeft" activeCell="A1" activeCellId="0" sqref="A1"/>
      <selection pane="topRight" activeCell="B1" activeCellId="0" sqref="B1"/>
      <selection pane="bottomLeft" activeCell="A166" activeCellId="0" sqref="A166"/>
      <selection pane="bottomRight" activeCell="G191" activeCellId="0" sqref="E191:G19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28" width="15.83"/>
    <col collapsed="false" customWidth="false" hidden="false" outlineLevel="0" max="3" min="2" style="28" width="11.53"/>
    <col collapsed="false" customWidth="true" hidden="false" outlineLevel="0" max="4" min="4" style="28" width="13.19"/>
    <col collapsed="false" customWidth="false" hidden="false" outlineLevel="0" max="6" min="5" style="22" width="11.53"/>
    <col collapsed="false" customWidth="true" hidden="false" outlineLevel="0" max="7" min="7" style="21" width="17.71"/>
    <col collapsed="false" customWidth="false" hidden="false" outlineLevel="0" max="16384" min="8" style="28" width="11.53"/>
  </cols>
  <sheetData>
    <row r="1" customFormat="false" ht="13.8" hidden="false" customHeight="false" outlineLevel="0" collapsed="false">
      <c r="A1" s="29" t="s">
        <v>4</v>
      </c>
      <c r="B1" s="30" t="s">
        <v>32</v>
      </c>
      <c r="C1" s="31" t="s">
        <v>2513</v>
      </c>
      <c r="E1" s="22" t="s">
        <v>2514</v>
      </c>
      <c r="F1" s="22" t="s">
        <v>2515</v>
      </c>
      <c r="G1" s="32" t="s">
        <v>2516</v>
      </c>
    </row>
    <row r="2" customFormat="false" ht="13.8" hidden="false" customHeight="false" outlineLevel="0" collapsed="false">
      <c r="A2" s="33" t="s">
        <v>395</v>
      </c>
      <c r="B2" s="34" t="n">
        <v>357</v>
      </c>
      <c r="C2" s="35"/>
      <c r="D2" s="28" t="str">
        <f aca="false">A2</f>
        <v>"Банкя"</v>
      </c>
      <c r="E2" s="22" t="n">
        <f aca="false">B2</f>
        <v>357</v>
      </c>
      <c r="F2" s="22" t="n">
        <v>1</v>
      </c>
      <c r="G2" s="21" t="n">
        <f aca="false">E2/F2</f>
        <v>357</v>
      </c>
    </row>
    <row r="3" customFormat="false" ht="13.8" hidden="false" customHeight="false" outlineLevel="0" collapsed="false">
      <c r="A3" s="36" t="s">
        <v>105</v>
      </c>
      <c r="B3" s="37" t="n">
        <v>39</v>
      </c>
      <c r="C3" s="38"/>
      <c r="D3" s="28" t="str">
        <f aca="false">A3</f>
        <v>"Витоша"</v>
      </c>
      <c r="E3" s="22" t="n">
        <f aca="false">SUM(B3:B10)</f>
        <v>1453</v>
      </c>
      <c r="F3" s="22" t="n">
        <f aca="false">COUNT(B3:B10)</f>
        <v>8</v>
      </c>
      <c r="G3" s="21" t="n">
        <f aca="false">E3/F3</f>
        <v>181.625</v>
      </c>
    </row>
    <row r="4" customFormat="false" ht="13.8" hidden="false" customHeight="false" outlineLevel="0" collapsed="false">
      <c r="A4" s="39"/>
      <c r="B4" s="40" t="n">
        <v>80</v>
      </c>
      <c r="C4" s="41"/>
    </row>
    <row r="5" customFormat="false" ht="13.8" hidden="false" customHeight="false" outlineLevel="0" collapsed="false">
      <c r="A5" s="39"/>
      <c r="B5" s="40" t="n">
        <v>151</v>
      </c>
      <c r="C5" s="41"/>
    </row>
    <row r="6" customFormat="false" ht="13.8" hidden="false" customHeight="false" outlineLevel="0" collapsed="false">
      <c r="A6" s="39"/>
      <c r="B6" s="40" t="n">
        <v>182</v>
      </c>
      <c r="C6" s="41"/>
    </row>
    <row r="7" customFormat="false" ht="13.8" hidden="false" customHeight="false" outlineLevel="0" collapsed="false">
      <c r="A7" s="39"/>
      <c r="B7" s="40" t="n">
        <v>205</v>
      </c>
      <c r="C7" s="41"/>
    </row>
    <row r="8" customFormat="false" ht="13.8" hidden="false" customHeight="false" outlineLevel="0" collapsed="false">
      <c r="A8" s="39"/>
      <c r="B8" s="40" t="n">
        <v>211</v>
      </c>
      <c r="C8" s="41"/>
    </row>
    <row r="9" customFormat="false" ht="13.8" hidden="false" customHeight="false" outlineLevel="0" collapsed="false">
      <c r="A9" s="39"/>
      <c r="B9" s="40" t="n">
        <v>266</v>
      </c>
      <c r="C9" s="41"/>
    </row>
    <row r="10" customFormat="false" ht="13.8" hidden="false" customHeight="false" outlineLevel="0" collapsed="false">
      <c r="A10" s="42"/>
      <c r="B10" s="43" t="n">
        <v>319</v>
      </c>
      <c r="C10" s="44"/>
    </row>
    <row r="11" customFormat="false" ht="13.8" hidden="false" customHeight="false" outlineLevel="0" collapsed="false">
      <c r="A11" s="36" t="s">
        <v>118</v>
      </c>
      <c r="B11" s="37" t="n">
        <v>164</v>
      </c>
      <c r="C11" s="38"/>
      <c r="D11" s="28" t="str">
        <f aca="false">A11</f>
        <v>"Връбница"</v>
      </c>
      <c r="E11" s="22" t="n">
        <f aca="false">SUM(B11:B16)</f>
        <v>1300</v>
      </c>
      <c r="F11" s="22" t="n">
        <f aca="false">COUNT(B11:B16)</f>
        <v>6</v>
      </c>
      <c r="G11" s="21" t="n">
        <f aca="false">E11/F11</f>
        <v>216.666666666667</v>
      </c>
    </row>
    <row r="12" customFormat="false" ht="13.8" hidden="false" customHeight="false" outlineLevel="0" collapsed="false">
      <c r="A12" s="39"/>
      <c r="B12" s="40" t="n">
        <v>207</v>
      </c>
      <c r="C12" s="41"/>
    </row>
    <row r="13" customFormat="false" ht="13.8" hidden="false" customHeight="false" outlineLevel="0" collapsed="false">
      <c r="A13" s="39"/>
      <c r="B13" s="40" t="n">
        <v>210</v>
      </c>
      <c r="C13" s="41"/>
    </row>
    <row r="14" customFormat="false" ht="13.8" hidden="false" customHeight="false" outlineLevel="0" collapsed="false">
      <c r="A14" s="39"/>
      <c r="B14" s="40" t="n">
        <v>211</v>
      </c>
      <c r="C14" s="41"/>
    </row>
    <row r="15" customFormat="false" ht="13.8" hidden="false" customHeight="false" outlineLevel="0" collapsed="false">
      <c r="A15" s="39"/>
      <c r="B15" s="40" t="n">
        <v>251</v>
      </c>
      <c r="C15" s="41"/>
    </row>
    <row r="16" customFormat="false" ht="13.8" hidden="false" customHeight="false" outlineLevel="0" collapsed="false">
      <c r="A16" s="42"/>
      <c r="B16" s="43" t="n">
        <v>257</v>
      </c>
      <c r="C16" s="44"/>
    </row>
    <row r="17" customFormat="false" ht="13.8" hidden="false" customHeight="false" outlineLevel="0" collapsed="false">
      <c r="A17" s="36" t="s">
        <v>61</v>
      </c>
      <c r="B17" s="37" t="n">
        <v>138</v>
      </c>
      <c r="C17" s="38"/>
      <c r="D17" s="28" t="str">
        <f aca="false">A17</f>
        <v>"Възраждане"</v>
      </c>
      <c r="E17" s="22" t="n">
        <f aca="false">SUM(B17:B21)</f>
        <v>1192</v>
      </c>
      <c r="F17" s="22" t="n">
        <f aca="false">COUNT(B17:B21)</f>
        <v>5</v>
      </c>
      <c r="G17" s="21" t="n">
        <f aca="false">E17/F17</f>
        <v>238.4</v>
      </c>
    </row>
    <row r="18" customFormat="false" ht="13.8" hidden="false" customHeight="false" outlineLevel="0" collapsed="false">
      <c r="A18" s="39"/>
      <c r="B18" s="40" t="n">
        <v>167</v>
      </c>
      <c r="C18" s="41"/>
    </row>
    <row r="19" customFormat="false" ht="13.8" hidden="false" customHeight="false" outlineLevel="0" collapsed="false">
      <c r="A19" s="39"/>
      <c r="B19" s="40" t="n">
        <v>264</v>
      </c>
      <c r="C19" s="41"/>
    </row>
    <row r="20" customFormat="false" ht="13.8" hidden="false" customHeight="false" outlineLevel="0" collapsed="false">
      <c r="A20" s="39"/>
      <c r="B20" s="40" t="n">
        <v>310</v>
      </c>
      <c r="C20" s="41"/>
    </row>
    <row r="21" customFormat="false" ht="13.8" hidden="false" customHeight="false" outlineLevel="0" collapsed="false">
      <c r="A21" s="42"/>
      <c r="B21" s="43" t="n">
        <v>313</v>
      </c>
      <c r="C21" s="44"/>
    </row>
    <row r="22" customFormat="false" ht="13.8" hidden="false" customHeight="false" outlineLevel="0" collapsed="false">
      <c r="A22" s="36" t="s">
        <v>368</v>
      </c>
      <c r="B22" s="37" t="n">
        <v>155</v>
      </c>
      <c r="C22" s="38"/>
      <c r="D22" s="28" t="str">
        <f aca="false">A22</f>
        <v>"Изгрев"</v>
      </c>
      <c r="E22" s="22" t="n">
        <f aca="false">SUM(B22:B28)</f>
        <v>1640</v>
      </c>
      <c r="F22" s="22" t="n">
        <f aca="false">COUNT(B22:B28)</f>
        <v>7</v>
      </c>
      <c r="G22" s="21" t="n">
        <f aca="false">E22/F22</f>
        <v>234.285714285714</v>
      </c>
    </row>
    <row r="23" customFormat="false" ht="13.8" hidden="false" customHeight="false" outlineLevel="0" collapsed="false">
      <c r="A23" s="39"/>
      <c r="B23" s="40" t="n">
        <v>185</v>
      </c>
      <c r="C23" s="41"/>
    </row>
    <row r="24" customFormat="false" ht="13.8" hidden="false" customHeight="false" outlineLevel="0" collapsed="false">
      <c r="A24" s="39"/>
      <c r="B24" s="40" t="n">
        <v>191</v>
      </c>
      <c r="C24" s="41"/>
    </row>
    <row r="25" customFormat="false" ht="13.8" hidden="false" customHeight="false" outlineLevel="0" collapsed="false">
      <c r="A25" s="39"/>
      <c r="B25" s="40" t="n">
        <v>209</v>
      </c>
      <c r="C25" s="41"/>
    </row>
    <row r="26" customFormat="false" ht="13.8" hidden="false" customHeight="false" outlineLevel="0" collapsed="false">
      <c r="A26" s="39"/>
      <c r="B26" s="40" t="n">
        <v>290</v>
      </c>
      <c r="C26" s="41"/>
    </row>
    <row r="27" customFormat="false" ht="13.8" hidden="false" customHeight="false" outlineLevel="0" collapsed="false">
      <c r="A27" s="39"/>
      <c r="B27" s="40" t="n">
        <v>291</v>
      </c>
      <c r="C27" s="41"/>
    </row>
    <row r="28" customFormat="false" ht="13.8" hidden="false" customHeight="false" outlineLevel="0" collapsed="false">
      <c r="A28" s="42"/>
      <c r="B28" s="43" t="n">
        <v>319</v>
      </c>
      <c r="C28" s="44"/>
    </row>
    <row r="29" customFormat="false" ht="13.8" hidden="false" customHeight="false" outlineLevel="0" collapsed="false">
      <c r="A29" s="36" t="s">
        <v>723</v>
      </c>
      <c r="B29" s="37" t="n">
        <v>154</v>
      </c>
      <c r="C29" s="38"/>
      <c r="D29" s="28" t="str">
        <f aca="false">A29</f>
        <v>"Илинден"</v>
      </c>
      <c r="E29" s="22" t="n">
        <f aca="false">SUM(B29:B33)</f>
        <v>1192</v>
      </c>
      <c r="F29" s="22" t="n">
        <f aca="false">COUNT(B29:B33)</f>
        <v>5</v>
      </c>
      <c r="G29" s="21" t="n">
        <f aca="false">E29/F29</f>
        <v>238.4</v>
      </c>
    </row>
    <row r="30" customFormat="false" ht="13.8" hidden="false" customHeight="false" outlineLevel="0" collapsed="false">
      <c r="A30" s="39"/>
      <c r="B30" s="40" t="n">
        <v>165</v>
      </c>
      <c r="C30" s="41"/>
    </row>
    <row r="31" customFormat="false" ht="13.8" hidden="false" customHeight="false" outlineLevel="0" collapsed="false">
      <c r="A31" s="39"/>
      <c r="B31" s="40" t="n">
        <v>260</v>
      </c>
      <c r="C31" s="41"/>
    </row>
    <row r="32" customFormat="false" ht="13.8" hidden="false" customHeight="false" outlineLevel="0" collapsed="false">
      <c r="A32" s="39"/>
      <c r="B32" s="40" t="n">
        <v>288</v>
      </c>
      <c r="C32" s="41"/>
    </row>
    <row r="33" customFormat="false" ht="13.8" hidden="false" customHeight="false" outlineLevel="0" collapsed="false">
      <c r="A33" s="42"/>
      <c r="B33" s="43" t="n">
        <v>325</v>
      </c>
      <c r="C33" s="44"/>
    </row>
    <row r="34" customFormat="false" ht="13.8" hidden="false" customHeight="false" outlineLevel="0" collapsed="false">
      <c r="A34" s="36" t="s">
        <v>235</v>
      </c>
      <c r="B34" s="37" t="n">
        <v>200</v>
      </c>
      <c r="C34" s="38"/>
      <c r="D34" s="28" t="str">
        <f aca="false">A34</f>
        <v>"Искър"</v>
      </c>
      <c r="E34" s="22" t="n">
        <f aca="false">SUM(B34:B41)</f>
        <v>2560</v>
      </c>
      <c r="F34" s="22" t="n">
        <f aca="false">COUNT(B34:B41)</f>
        <v>8</v>
      </c>
      <c r="G34" s="21" t="n">
        <f aca="false">E34/F34</f>
        <v>320</v>
      </c>
    </row>
    <row r="35" customFormat="false" ht="13.8" hidden="false" customHeight="false" outlineLevel="0" collapsed="false">
      <c r="A35" s="39"/>
      <c r="B35" s="40" t="n">
        <v>252</v>
      </c>
      <c r="C35" s="41"/>
    </row>
    <row r="36" customFormat="false" ht="13.8" hidden="false" customHeight="false" outlineLevel="0" collapsed="false">
      <c r="A36" s="39"/>
      <c r="B36" s="40" t="n">
        <v>284</v>
      </c>
      <c r="C36" s="41"/>
    </row>
    <row r="37" customFormat="false" ht="13.8" hidden="false" customHeight="false" outlineLevel="0" collapsed="false">
      <c r="A37" s="39"/>
      <c r="B37" s="40" t="n">
        <v>292</v>
      </c>
      <c r="C37" s="41"/>
    </row>
    <row r="38" customFormat="false" ht="13.8" hidden="false" customHeight="false" outlineLevel="0" collapsed="false">
      <c r="A38" s="39"/>
      <c r="B38" s="40" t="n">
        <v>308</v>
      </c>
      <c r="C38" s="41"/>
    </row>
    <row r="39" customFormat="false" ht="13.8" hidden="false" customHeight="false" outlineLevel="0" collapsed="false">
      <c r="A39" s="39"/>
      <c r="B39" s="40" t="n">
        <v>355</v>
      </c>
      <c r="C39" s="41"/>
    </row>
    <row r="40" customFormat="false" ht="13.8" hidden="false" customHeight="false" outlineLevel="0" collapsed="false">
      <c r="A40" s="39"/>
      <c r="B40" s="40" t="n">
        <v>400</v>
      </c>
      <c r="C40" s="41"/>
    </row>
    <row r="41" customFormat="false" ht="13.8" hidden="false" customHeight="false" outlineLevel="0" collapsed="false">
      <c r="A41" s="42"/>
      <c r="B41" s="43" t="n">
        <v>469</v>
      </c>
      <c r="C41" s="44"/>
    </row>
    <row r="42" customFormat="false" ht="13.8" hidden="false" customHeight="false" outlineLevel="0" collapsed="false">
      <c r="A42" s="36" t="s">
        <v>757</v>
      </c>
      <c r="B42" s="37" t="n">
        <v>108</v>
      </c>
      <c r="C42" s="38"/>
      <c r="D42" s="28" t="str">
        <f aca="false">A42</f>
        <v>"Красна поляна"</v>
      </c>
      <c r="E42" s="22" t="n">
        <f aca="false">SUM(B42:B48)</f>
        <v>1312</v>
      </c>
      <c r="F42" s="22" t="n">
        <f aca="false">COUNT(B42:B48)</f>
        <v>7</v>
      </c>
      <c r="G42" s="21" t="n">
        <f aca="false">E42/F42</f>
        <v>187.428571428571</v>
      </c>
    </row>
    <row r="43" customFormat="false" ht="13.8" hidden="false" customHeight="false" outlineLevel="0" collapsed="false">
      <c r="A43" s="39"/>
      <c r="B43" s="40" t="n">
        <v>157</v>
      </c>
      <c r="C43" s="41"/>
    </row>
    <row r="44" customFormat="false" ht="13.8" hidden="false" customHeight="false" outlineLevel="0" collapsed="false">
      <c r="A44" s="39"/>
      <c r="B44" s="40" t="n">
        <v>176</v>
      </c>
      <c r="C44" s="41"/>
    </row>
    <row r="45" customFormat="false" ht="13.8" hidden="false" customHeight="false" outlineLevel="0" collapsed="false">
      <c r="A45" s="39"/>
      <c r="B45" s="40" t="n">
        <v>179</v>
      </c>
      <c r="C45" s="41"/>
    </row>
    <row r="46" customFormat="false" ht="13.8" hidden="false" customHeight="false" outlineLevel="0" collapsed="false">
      <c r="A46" s="39"/>
      <c r="B46" s="40" t="n">
        <v>207</v>
      </c>
      <c r="C46" s="41"/>
    </row>
    <row r="47" customFormat="false" ht="13.8" hidden="false" customHeight="false" outlineLevel="0" collapsed="false">
      <c r="A47" s="39"/>
      <c r="B47" s="40" t="n">
        <v>210</v>
      </c>
      <c r="C47" s="41"/>
    </row>
    <row r="48" customFormat="false" ht="13.8" hidden="false" customHeight="false" outlineLevel="0" collapsed="false">
      <c r="A48" s="42"/>
      <c r="B48" s="43" t="n">
        <v>275</v>
      </c>
      <c r="C48" s="44"/>
    </row>
    <row r="49" customFormat="false" ht="13.8" hidden="false" customHeight="false" outlineLevel="0" collapsed="false">
      <c r="A49" s="36" t="s">
        <v>162</v>
      </c>
      <c r="B49" s="37" t="n">
        <v>106</v>
      </c>
      <c r="C49" s="38"/>
      <c r="D49" s="28" t="str">
        <f aca="false">A49</f>
        <v>"Красно село"</v>
      </c>
      <c r="E49" s="22" t="n">
        <f aca="false">SUM(B49:B61)</f>
        <v>2938</v>
      </c>
      <c r="F49" s="22" t="n">
        <f aca="false">COUNT(B49:B61)</f>
        <v>13</v>
      </c>
      <c r="G49" s="21" t="n">
        <f aca="false">E49/F49</f>
        <v>226</v>
      </c>
    </row>
    <row r="50" customFormat="false" ht="13.8" hidden="false" customHeight="false" outlineLevel="0" collapsed="false">
      <c r="A50" s="39"/>
      <c r="B50" s="40" t="n">
        <v>115</v>
      </c>
      <c r="C50" s="41"/>
    </row>
    <row r="51" customFormat="false" ht="13.8" hidden="false" customHeight="false" outlineLevel="0" collapsed="false">
      <c r="A51" s="39"/>
      <c r="B51" s="40" t="n">
        <v>137</v>
      </c>
      <c r="C51" s="41"/>
    </row>
    <row r="52" customFormat="false" ht="13.8" hidden="false" customHeight="false" outlineLevel="0" collapsed="false">
      <c r="A52" s="39"/>
      <c r="B52" s="40" t="n">
        <v>147</v>
      </c>
      <c r="C52" s="41"/>
    </row>
    <row r="53" customFormat="false" ht="13.8" hidden="false" customHeight="false" outlineLevel="0" collapsed="false">
      <c r="A53" s="39"/>
      <c r="B53" s="40" t="n">
        <v>160</v>
      </c>
      <c r="C53" s="41"/>
    </row>
    <row r="54" customFormat="false" ht="13.8" hidden="false" customHeight="false" outlineLevel="0" collapsed="false">
      <c r="A54" s="39"/>
      <c r="B54" s="40" t="n">
        <v>167</v>
      </c>
      <c r="C54" s="41"/>
    </row>
    <row r="55" customFormat="false" ht="13.8" hidden="false" customHeight="false" outlineLevel="0" collapsed="false">
      <c r="A55" s="39"/>
      <c r="B55" s="40" t="n">
        <v>169</v>
      </c>
      <c r="C55" s="41"/>
    </row>
    <row r="56" customFormat="false" ht="13.8" hidden="false" customHeight="false" outlineLevel="0" collapsed="false">
      <c r="A56" s="39"/>
      <c r="B56" s="40" t="n">
        <v>206</v>
      </c>
      <c r="C56" s="41"/>
    </row>
    <row r="57" customFormat="false" ht="13.8" hidden="false" customHeight="false" outlineLevel="0" collapsed="false">
      <c r="A57" s="39"/>
      <c r="B57" s="40" t="n">
        <v>230</v>
      </c>
      <c r="C57" s="41"/>
    </row>
    <row r="58" customFormat="false" ht="13.8" hidden="false" customHeight="false" outlineLevel="0" collapsed="false">
      <c r="A58" s="39"/>
      <c r="B58" s="40" t="n">
        <v>336</v>
      </c>
      <c r="C58" s="41"/>
    </row>
    <row r="59" customFormat="false" ht="13.8" hidden="false" customHeight="false" outlineLevel="0" collapsed="false">
      <c r="A59" s="39"/>
      <c r="B59" s="40" t="n">
        <v>342</v>
      </c>
      <c r="C59" s="41"/>
    </row>
    <row r="60" customFormat="false" ht="13.8" hidden="false" customHeight="false" outlineLevel="0" collapsed="false">
      <c r="A60" s="39"/>
      <c r="B60" s="40" t="n">
        <v>398</v>
      </c>
      <c r="C60" s="41"/>
    </row>
    <row r="61" customFormat="false" ht="13.8" hidden="false" customHeight="false" outlineLevel="0" collapsed="false">
      <c r="A61" s="42"/>
      <c r="B61" s="43" t="n">
        <v>425</v>
      </c>
      <c r="C61" s="44"/>
    </row>
    <row r="62" customFormat="false" ht="13.8" hidden="false" customHeight="false" outlineLevel="0" collapsed="false">
      <c r="A62" s="36" t="s">
        <v>625</v>
      </c>
      <c r="B62" s="37" t="n">
        <v>97</v>
      </c>
      <c r="C62" s="38"/>
      <c r="D62" s="28" t="str">
        <f aca="false">A62</f>
        <v>"Кремиковци"</v>
      </c>
      <c r="E62" s="22" t="n">
        <f aca="false">SUM(B62:B67)</f>
        <v>745</v>
      </c>
      <c r="F62" s="22" t="n">
        <f aca="false">COUNT(B62:B67)</f>
        <v>6</v>
      </c>
      <c r="G62" s="21" t="n">
        <f aca="false">E62/F62</f>
        <v>124.166666666667</v>
      </c>
    </row>
    <row r="63" customFormat="false" ht="13.8" hidden="false" customHeight="false" outlineLevel="0" collapsed="false">
      <c r="A63" s="39"/>
      <c r="B63" s="40" t="n">
        <v>101</v>
      </c>
      <c r="C63" s="41"/>
    </row>
    <row r="64" customFormat="false" ht="13.8" hidden="false" customHeight="false" outlineLevel="0" collapsed="false">
      <c r="A64" s="39"/>
      <c r="B64" s="40" t="n">
        <v>106</v>
      </c>
      <c r="C64" s="41"/>
    </row>
    <row r="65" customFormat="false" ht="13.8" hidden="false" customHeight="false" outlineLevel="0" collapsed="false">
      <c r="A65" s="39"/>
      <c r="B65" s="40" t="n">
        <v>127</v>
      </c>
      <c r="C65" s="41"/>
    </row>
    <row r="66" customFormat="false" ht="13.8" hidden="false" customHeight="false" outlineLevel="0" collapsed="false">
      <c r="A66" s="39"/>
      <c r="B66" s="40" t="n">
        <v>149</v>
      </c>
      <c r="C66" s="41"/>
    </row>
    <row r="67" customFormat="false" ht="13.8" hidden="false" customHeight="false" outlineLevel="0" collapsed="false">
      <c r="A67" s="42"/>
      <c r="B67" s="43" t="n">
        <v>165</v>
      </c>
      <c r="C67" s="44"/>
    </row>
    <row r="68" customFormat="false" ht="13.8" hidden="false" customHeight="false" outlineLevel="0" collapsed="false">
      <c r="A68" s="36" t="s">
        <v>312</v>
      </c>
      <c r="B68" s="37" t="n">
        <v>113</v>
      </c>
      <c r="C68" s="38"/>
      <c r="D68" s="28" t="str">
        <f aca="false">A68</f>
        <v>"Лозенец"</v>
      </c>
      <c r="E68" s="22" t="n">
        <f aca="false">SUM(B68:B75)</f>
        <v>1356</v>
      </c>
      <c r="F68" s="22" t="n">
        <f aca="false">COUNT(B68:B75)</f>
        <v>8</v>
      </c>
      <c r="G68" s="21" t="n">
        <f aca="false">E68/F68</f>
        <v>169.5</v>
      </c>
    </row>
    <row r="69" customFormat="false" ht="13.8" hidden="false" customHeight="false" outlineLevel="0" collapsed="false">
      <c r="A69" s="39"/>
      <c r="B69" s="40" t="n">
        <v>117</v>
      </c>
      <c r="C69" s="41"/>
    </row>
    <row r="70" customFormat="false" ht="13.8" hidden="false" customHeight="false" outlineLevel="0" collapsed="false">
      <c r="A70" s="39"/>
      <c r="B70" s="40" t="n">
        <v>163</v>
      </c>
      <c r="C70" s="41"/>
    </row>
    <row r="71" customFormat="false" ht="13.8" hidden="false" customHeight="false" outlineLevel="0" collapsed="false">
      <c r="A71" s="39"/>
      <c r="B71" s="40" t="n">
        <v>172</v>
      </c>
      <c r="C71" s="41"/>
    </row>
    <row r="72" customFormat="false" ht="13.8" hidden="false" customHeight="false" outlineLevel="0" collapsed="false">
      <c r="A72" s="39"/>
      <c r="B72" s="40" t="n">
        <v>174</v>
      </c>
      <c r="C72" s="41"/>
    </row>
    <row r="73" customFormat="false" ht="13.8" hidden="false" customHeight="false" outlineLevel="0" collapsed="false">
      <c r="A73" s="39"/>
      <c r="B73" s="40" t="n">
        <v>185</v>
      </c>
      <c r="C73" s="41"/>
    </row>
    <row r="74" customFormat="false" ht="13.8" hidden="false" customHeight="false" outlineLevel="0" collapsed="false">
      <c r="A74" s="39"/>
      <c r="B74" s="40" t="n">
        <v>209</v>
      </c>
      <c r="C74" s="41"/>
    </row>
    <row r="75" customFormat="false" ht="13.8" hidden="false" customHeight="false" outlineLevel="0" collapsed="false">
      <c r="A75" s="42"/>
      <c r="B75" s="43" t="n">
        <v>223</v>
      </c>
      <c r="C75" s="44"/>
    </row>
    <row r="76" customFormat="false" ht="13.8" hidden="false" customHeight="false" outlineLevel="0" collapsed="false">
      <c r="A76" s="36" t="s">
        <v>355</v>
      </c>
      <c r="B76" s="37" t="n">
        <v>105</v>
      </c>
      <c r="C76" s="38"/>
      <c r="D76" s="28" t="str">
        <f aca="false">A76</f>
        <v>"Люлин"</v>
      </c>
      <c r="E76" s="22" t="n">
        <f aca="false">SUM(B76:B91)</f>
        <v>3760</v>
      </c>
      <c r="F76" s="22" t="n">
        <f aca="false">COUNT(B76:B91)</f>
        <v>16</v>
      </c>
      <c r="G76" s="21" t="n">
        <f aca="false">E76/F76</f>
        <v>235</v>
      </c>
    </row>
    <row r="77" customFormat="false" ht="13.8" hidden="false" customHeight="false" outlineLevel="0" collapsed="false">
      <c r="A77" s="39"/>
      <c r="B77" s="40" t="n">
        <v>176</v>
      </c>
      <c r="C77" s="41"/>
    </row>
    <row r="78" customFormat="false" ht="13.8" hidden="false" customHeight="false" outlineLevel="0" collapsed="false">
      <c r="A78" s="39"/>
      <c r="B78" s="40" t="n">
        <v>177</v>
      </c>
      <c r="C78" s="41"/>
    </row>
    <row r="79" customFormat="false" ht="13.8" hidden="false" customHeight="false" outlineLevel="0" collapsed="false">
      <c r="A79" s="39"/>
      <c r="B79" s="40" t="n">
        <v>182</v>
      </c>
      <c r="C79" s="41"/>
    </row>
    <row r="80" customFormat="false" ht="13.8" hidden="false" customHeight="false" outlineLevel="0" collapsed="false">
      <c r="A80" s="39"/>
      <c r="B80" s="40" t="n">
        <v>184</v>
      </c>
      <c r="C80" s="41"/>
    </row>
    <row r="81" customFormat="false" ht="13.8" hidden="false" customHeight="false" outlineLevel="0" collapsed="false">
      <c r="A81" s="39"/>
      <c r="B81" s="40" t="n">
        <v>209</v>
      </c>
      <c r="C81" s="41"/>
    </row>
    <row r="82" customFormat="false" ht="13.8" hidden="false" customHeight="false" outlineLevel="0" collapsed="false">
      <c r="A82" s="39"/>
      <c r="B82" s="40" t="n">
        <v>233</v>
      </c>
      <c r="C82" s="41"/>
    </row>
    <row r="83" customFormat="false" ht="13.8" hidden="false" customHeight="false" outlineLevel="0" collapsed="false">
      <c r="A83" s="39"/>
      <c r="B83" s="40" t="n">
        <v>249</v>
      </c>
      <c r="C83" s="41"/>
    </row>
    <row r="84" customFormat="false" ht="13.8" hidden="false" customHeight="false" outlineLevel="0" collapsed="false">
      <c r="A84" s="39"/>
      <c r="B84" s="40" t="n">
        <v>251</v>
      </c>
      <c r="C84" s="41"/>
    </row>
    <row r="85" customFormat="false" ht="13.8" hidden="false" customHeight="false" outlineLevel="0" collapsed="false">
      <c r="A85" s="39"/>
      <c r="B85" s="40" t="n">
        <v>255</v>
      </c>
      <c r="C85" s="41"/>
    </row>
    <row r="86" customFormat="false" ht="13.8" hidden="false" customHeight="false" outlineLevel="0" collapsed="false">
      <c r="A86" s="39"/>
      <c r="B86" s="40" t="n">
        <v>257</v>
      </c>
      <c r="C86" s="41"/>
    </row>
    <row r="87" customFormat="false" ht="13.8" hidden="false" customHeight="false" outlineLevel="0" collapsed="false">
      <c r="A87" s="39"/>
      <c r="B87" s="40" t="n">
        <v>261</v>
      </c>
      <c r="C87" s="41"/>
    </row>
    <row r="88" customFormat="false" ht="13.8" hidden="false" customHeight="false" outlineLevel="0" collapsed="false">
      <c r="A88" s="39"/>
      <c r="B88" s="40" t="n">
        <v>281</v>
      </c>
      <c r="C88" s="41"/>
    </row>
    <row r="89" customFormat="false" ht="13.8" hidden="false" customHeight="false" outlineLevel="0" collapsed="false">
      <c r="A89" s="39"/>
      <c r="B89" s="40" t="n">
        <v>295</v>
      </c>
      <c r="C89" s="41"/>
    </row>
    <row r="90" customFormat="false" ht="13.8" hidden="false" customHeight="false" outlineLevel="0" collapsed="false">
      <c r="A90" s="39"/>
      <c r="B90" s="40" t="n">
        <v>299</v>
      </c>
      <c r="C90" s="41"/>
    </row>
    <row r="91" customFormat="false" ht="13.8" hidden="false" customHeight="false" outlineLevel="0" collapsed="false">
      <c r="A91" s="42"/>
      <c r="B91" s="43" t="n">
        <v>346</v>
      </c>
      <c r="C91" s="44"/>
    </row>
    <row r="92" customFormat="false" ht="13.8" hidden="false" customHeight="false" outlineLevel="0" collapsed="false">
      <c r="A92" s="36" t="s">
        <v>204</v>
      </c>
      <c r="B92" s="37" t="n">
        <v>161</v>
      </c>
      <c r="C92" s="38"/>
      <c r="D92" s="28" t="str">
        <f aca="false">A92</f>
        <v>"Младост"</v>
      </c>
      <c r="E92" s="22" t="n">
        <f aca="false">SUM(B92:B109)</f>
        <v>4624</v>
      </c>
      <c r="F92" s="22" t="n">
        <f aca="false">COUNT(B92:B109)</f>
        <v>18</v>
      </c>
      <c r="G92" s="21" t="n">
        <f aca="false">E92/F92</f>
        <v>256.888888888889</v>
      </c>
    </row>
    <row r="93" customFormat="false" ht="13.8" hidden="false" customHeight="false" outlineLevel="0" collapsed="false">
      <c r="A93" s="39"/>
      <c r="B93" s="40" t="n">
        <v>166</v>
      </c>
      <c r="C93" s="41"/>
    </row>
    <row r="94" customFormat="false" ht="13.8" hidden="false" customHeight="false" outlineLevel="0" collapsed="false">
      <c r="A94" s="39"/>
      <c r="B94" s="40" t="n">
        <v>182</v>
      </c>
      <c r="C94" s="41"/>
    </row>
    <row r="95" customFormat="false" ht="13.8" hidden="false" customHeight="false" outlineLevel="0" collapsed="false">
      <c r="A95" s="39"/>
      <c r="B95" s="40" t="n">
        <v>206</v>
      </c>
      <c r="C95" s="41"/>
    </row>
    <row r="96" customFormat="false" ht="13.8" hidden="false" customHeight="false" outlineLevel="0" collapsed="false">
      <c r="A96" s="39"/>
      <c r="B96" s="40" t="n">
        <v>222</v>
      </c>
      <c r="C96" s="41"/>
    </row>
    <row r="97" customFormat="false" ht="13.8" hidden="false" customHeight="false" outlineLevel="0" collapsed="false">
      <c r="A97" s="39"/>
      <c r="B97" s="40" t="n">
        <v>232</v>
      </c>
      <c r="C97" s="41"/>
    </row>
    <row r="98" customFormat="false" ht="13.8" hidden="false" customHeight="false" outlineLevel="0" collapsed="false">
      <c r="A98" s="39"/>
      <c r="B98" s="40" t="n">
        <v>233</v>
      </c>
      <c r="C98" s="41"/>
    </row>
    <row r="99" customFormat="false" ht="13.8" hidden="false" customHeight="false" outlineLevel="0" collapsed="false">
      <c r="A99" s="39"/>
      <c r="B99" s="40" t="n">
        <v>236</v>
      </c>
      <c r="C99" s="41"/>
    </row>
    <row r="100" customFormat="false" ht="13.8" hidden="false" customHeight="false" outlineLevel="0" collapsed="false">
      <c r="A100" s="39"/>
      <c r="B100" s="40" t="n">
        <v>237</v>
      </c>
      <c r="C100" s="41"/>
    </row>
    <row r="101" customFormat="false" ht="13.8" hidden="false" customHeight="false" outlineLevel="0" collapsed="false">
      <c r="A101" s="39"/>
      <c r="B101" s="40" t="n">
        <v>238</v>
      </c>
      <c r="C101" s="41"/>
    </row>
    <row r="102" customFormat="false" ht="13.8" hidden="false" customHeight="false" outlineLevel="0" collapsed="false">
      <c r="A102" s="39"/>
      <c r="B102" s="40" t="n">
        <v>240</v>
      </c>
      <c r="C102" s="41"/>
    </row>
    <row r="103" customFormat="false" ht="13.8" hidden="false" customHeight="false" outlineLevel="0" collapsed="false">
      <c r="A103" s="39"/>
      <c r="B103" s="40" t="n">
        <v>254</v>
      </c>
      <c r="C103" s="41"/>
    </row>
    <row r="104" customFormat="false" ht="13.8" hidden="false" customHeight="false" outlineLevel="0" collapsed="false">
      <c r="A104" s="39"/>
      <c r="B104" s="40" t="n">
        <v>270</v>
      </c>
      <c r="C104" s="41"/>
    </row>
    <row r="105" customFormat="false" ht="13.8" hidden="false" customHeight="false" outlineLevel="0" collapsed="false">
      <c r="A105" s="39"/>
      <c r="B105" s="40" t="n">
        <v>282</v>
      </c>
      <c r="C105" s="41"/>
    </row>
    <row r="106" customFormat="false" ht="13.8" hidden="false" customHeight="false" outlineLevel="0" collapsed="false">
      <c r="A106" s="39"/>
      <c r="B106" s="40" t="n">
        <v>297</v>
      </c>
      <c r="C106" s="41"/>
    </row>
    <row r="107" customFormat="false" ht="13.8" hidden="false" customHeight="false" outlineLevel="0" collapsed="false">
      <c r="A107" s="39"/>
      <c r="B107" s="40" t="n">
        <v>300</v>
      </c>
      <c r="C107" s="41"/>
    </row>
    <row r="108" customFormat="false" ht="13.8" hidden="false" customHeight="false" outlineLevel="0" collapsed="false">
      <c r="A108" s="39"/>
      <c r="B108" s="40" t="n">
        <v>332</v>
      </c>
      <c r="C108" s="41"/>
    </row>
    <row r="109" customFormat="false" ht="13.8" hidden="false" customHeight="false" outlineLevel="0" collapsed="false">
      <c r="A109" s="42"/>
      <c r="B109" s="43" t="n">
        <v>536</v>
      </c>
      <c r="C109" s="44"/>
    </row>
    <row r="110" customFormat="false" ht="13.8" hidden="false" customHeight="false" outlineLevel="0" collapsed="false">
      <c r="A110" s="36" t="s">
        <v>137</v>
      </c>
      <c r="B110" s="37" t="n">
        <v>106</v>
      </c>
      <c r="C110" s="38"/>
      <c r="D110" s="28" t="str">
        <f aca="false">A110</f>
        <v>"Надежда"</v>
      </c>
      <c r="E110" s="22" t="n">
        <f aca="false">SUM(B110:B121)</f>
        <v>3014</v>
      </c>
      <c r="F110" s="22" t="n">
        <f aca="false">COUNT(B110:B121)</f>
        <v>12</v>
      </c>
      <c r="G110" s="21" t="n">
        <f aca="false">E110/F110</f>
        <v>251.166666666667</v>
      </c>
    </row>
    <row r="111" customFormat="false" ht="13.8" hidden="false" customHeight="false" outlineLevel="0" collapsed="false">
      <c r="A111" s="39"/>
      <c r="B111" s="40" t="n">
        <v>206</v>
      </c>
      <c r="C111" s="41"/>
    </row>
    <row r="112" customFormat="false" ht="13.8" hidden="false" customHeight="false" outlineLevel="0" collapsed="false">
      <c r="A112" s="39"/>
      <c r="B112" s="40" t="n">
        <v>213</v>
      </c>
      <c r="C112" s="41"/>
    </row>
    <row r="113" customFormat="false" ht="13.8" hidden="false" customHeight="false" outlineLevel="0" collapsed="false">
      <c r="A113" s="39"/>
      <c r="B113" s="40" t="n">
        <v>229</v>
      </c>
      <c r="C113" s="41"/>
    </row>
    <row r="114" customFormat="false" ht="13.8" hidden="false" customHeight="false" outlineLevel="0" collapsed="false">
      <c r="A114" s="39"/>
      <c r="B114" s="40" t="n">
        <v>237</v>
      </c>
      <c r="C114" s="41"/>
    </row>
    <row r="115" customFormat="false" ht="13.8" hidden="false" customHeight="false" outlineLevel="0" collapsed="false">
      <c r="A115" s="39"/>
      <c r="B115" s="40" t="n">
        <v>249</v>
      </c>
      <c r="C115" s="41"/>
    </row>
    <row r="116" customFormat="false" ht="13.8" hidden="false" customHeight="false" outlineLevel="0" collapsed="false">
      <c r="A116" s="39"/>
      <c r="B116" s="40" t="n">
        <v>250</v>
      </c>
      <c r="C116" s="41"/>
    </row>
    <row r="117" customFormat="false" ht="13.8" hidden="false" customHeight="false" outlineLevel="0" collapsed="false">
      <c r="A117" s="39"/>
      <c r="B117" s="40" t="n">
        <v>272</v>
      </c>
      <c r="C117" s="41"/>
    </row>
    <row r="118" customFormat="false" ht="13.8" hidden="false" customHeight="false" outlineLevel="0" collapsed="false">
      <c r="A118" s="39"/>
      <c r="B118" s="40" t="n">
        <v>276</v>
      </c>
      <c r="C118" s="41"/>
    </row>
    <row r="119" customFormat="false" ht="13.8" hidden="false" customHeight="false" outlineLevel="0" collapsed="false">
      <c r="A119" s="39"/>
      <c r="B119" s="40" t="n">
        <v>318</v>
      </c>
      <c r="C119" s="41"/>
    </row>
    <row r="120" customFormat="false" ht="13.8" hidden="false" customHeight="false" outlineLevel="0" collapsed="false">
      <c r="A120" s="39"/>
      <c r="B120" s="40" t="n">
        <v>327</v>
      </c>
      <c r="C120" s="41"/>
    </row>
    <row r="121" customFormat="false" ht="13.8" hidden="false" customHeight="false" outlineLevel="0" collapsed="false">
      <c r="A121" s="42"/>
      <c r="B121" s="43" t="n">
        <v>331</v>
      </c>
      <c r="C121" s="44"/>
    </row>
    <row r="122" customFormat="false" ht="13.8" hidden="false" customHeight="false" outlineLevel="0" collapsed="false">
      <c r="A122" s="36" t="s">
        <v>1375</v>
      </c>
      <c r="B122" s="37" t="n">
        <v>111</v>
      </c>
      <c r="C122" s="38"/>
      <c r="D122" s="28" t="str">
        <f aca="false">A122</f>
        <v>"Нови Искър"</v>
      </c>
      <c r="E122" s="22" t="n">
        <f aca="false">SUM(B122:B127)</f>
        <v>983</v>
      </c>
      <c r="F122" s="22" t="n">
        <f aca="false">COUNT(B122:B127)</f>
        <v>6</v>
      </c>
      <c r="G122" s="21" t="n">
        <f aca="false">E122/F122</f>
        <v>163.833333333333</v>
      </c>
    </row>
    <row r="123" customFormat="false" ht="13.8" hidden="false" customHeight="false" outlineLevel="0" collapsed="false">
      <c r="A123" s="39"/>
      <c r="B123" s="40" t="n">
        <v>128</v>
      </c>
      <c r="C123" s="41"/>
    </row>
    <row r="124" customFormat="false" ht="13.8" hidden="false" customHeight="false" outlineLevel="0" collapsed="false">
      <c r="A124" s="39"/>
      <c r="B124" s="40" t="n">
        <v>148</v>
      </c>
      <c r="C124" s="41"/>
    </row>
    <row r="125" customFormat="false" ht="13.8" hidden="false" customHeight="false" outlineLevel="0" collapsed="false">
      <c r="A125" s="39"/>
      <c r="B125" s="40" t="n">
        <v>167</v>
      </c>
      <c r="C125" s="41"/>
    </row>
    <row r="126" customFormat="false" ht="13.8" hidden="false" customHeight="false" outlineLevel="0" collapsed="false">
      <c r="A126" s="39"/>
      <c r="B126" s="40" t="n">
        <v>196</v>
      </c>
      <c r="C126" s="41"/>
    </row>
    <row r="127" customFormat="false" ht="13.8" hidden="false" customHeight="false" outlineLevel="0" collapsed="false">
      <c r="A127" s="42"/>
      <c r="B127" s="43" t="n">
        <v>233</v>
      </c>
      <c r="C127" s="44"/>
    </row>
    <row r="128" customFormat="false" ht="13.8" hidden="false" customHeight="false" outlineLevel="0" collapsed="false">
      <c r="A128" s="36" t="s">
        <v>1348</v>
      </c>
      <c r="B128" s="37" t="n">
        <v>151</v>
      </c>
      <c r="C128" s="38"/>
      <c r="D128" s="28" t="str">
        <f aca="false">A128</f>
        <v>"Оборище"</v>
      </c>
      <c r="E128" s="22" t="n">
        <f aca="false">SUM(B128:B132)</f>
        <v>1236</v>
      </c>
      <c r="F128" s="22" t="n">
        <f aca="false">COUNT(B128:B132)</f>
        <v>5</v>
      </c>
      <c r="G128" s="21" t="n">
        <f aca="false">E128/F128</f>
        <v>247.2</v>
      </c>
    </row>
    <row r="129" customFormat="false" ht="13.8" hidden="false" customHeight="false" outlineLevel="0" collapsed="false">
      <c r="A129" s="39"/>
      <c r="B129" s="40" t="n">
        <v>220</v>
      </c>
      <c r="C129" s="41"/>
    </row>
    <row r="130" customFormat="false" ht="13.8" hidden="false" customHeight="false" outlineLevel="0" collapsed="false">
      <c r="A130" s="39"/>
      <c r="B130" s="40" t="n">
        <v>279</v>
      </c>
      <c r="C130" s="41"/>
    </row>
    <row r="131" customFormat="false" ht="13.8" hidden="false" customHeight="false" outlineLevel="0" collapsed="false">
      <c r="A131" s="39"/>
      <c r="B131" s="40" t="n">
        <v>289</v>
      </c>
      <c r="C131" s="41"/>
    </row>
    <row r="132" customFormat="false" ht="13.8" hidden="false" customHeight="false" outlineLevel="0" collapsed="false">
      <c r="A132" s="42"/>
      <c r="B132" s="43" t="n">
        <v>297</v>
      </c>
      <c r="C132" s="44"/>
    </row>
    <row r="133" customFormat="false" ht="13.8" hidden="false" customHeight="false" outlineLevel="0" collapsed="false">
      <c r="A133" s="36" t="s">
        <v>176</v>
      </c>
      <c r="B133" s="37" t="n">
        <v>116</v>
      </c>
      <c r="C133" s="38"/>
      <c r="D133" s="28" t="str">
        <f aca="false">A133</f>
        <v>"Овча купел"</v>
      </c>
      <c r="E133" s="22" t="n">
        <f aca="false">SUM(B133:B139)</f>
        <v>1620</v>
      </c>
      <c r="F133" s="22" t="n">
        <f aca="false">COUNT(B133:B139)</f>
        <v>7</v>
      </c>
      <c r="G133" s="21" t="n">
        <f aca="false">E133/F133</f>
        <v>231.428571428571</v>
      </c>
    </row>
    <row r="134" customFormat="false" ht="13.8" hidden="false" customHeight="false" outlineLevel="0" collapsed="false">
      <c r="A134" s="39"/>
      <c r="B134" s="40" t="n">
        <v>155</v>
      </c>
      <c r="C134" s="41"/>
    </row>
    <row r="135" customFormat="false" ht="13.8" hidden="false" customHeight="false" outlineLevel="0" collapsed="false">
      <c r="A135" s="39"/>
      <c r="B135" s="40" t="n">
        <v>223</v>
      </c>
      <c r="C135" s="41"/>
    </row>
    <row r="136" customFormat="false" ht="13.8" hidden="false" customHeight="false" outlineLevel="0" collapsed="false">
      <c r="A136" s="39"/>
      <c r="B136" s="40" t="n">
        <v>225</v>
      </c>
      <c r="C136" s="41"/>
    </row>
    <row r="137" customFormat="false" ht="13.8" hidden="false" customHeight="false" outlineLevel="0" collapsed="false">
      <c r="A137" s="39"/>
      <c r="B137" s="40" t="n">
        <v>251</v>
      </c>
      <c r="C137" s="41"/>
    </row>
    <row r="138" customFormat="false" ht="13.8" hidden="false" customHeight="false" outlineLevel="0" collapsed="false">
      <c r="A138" s="39"/>
      <c r="B138" s="40" t="n">
        <v>324</v>
      </c>
      <c r="C138" s="41"/>
    </row>
    <row r="139" customFormat="false" ht="13.8" hidden="false" customHeight="false" outlineLevel="0" collapsed="false">
      <c r="A139" s="42"/>
      <c r="B139" s="43" t="n">
        <v>326</v>
      </c>
      <c r="C139" s="44"/>
    </row>
    <row r="140" customFormat="false" ht="13.8" hidden="false" customHeight="false" outlineLevel="0" collapsed="false">
      <c r="A140" s="36" t="s">
        <v>91</v>
      </c>
      <c r="B140" s="37" t="n">
        <v>42</v>
      </c>
      <c r="C140" s="38"/>
      <c r="D140" s="28" t="str">
        <f aca="false">A140</f>
        <v>"Панчарево"</v>
      </c>
      <c r="E140" s="22" t="n">
        <f aca="false">SUM(B140:B146)</f>
        <v>956</v>
      </c>
      <c r="F140" s="22" t="n">
        <f aca="false">COUNT(B140:B146)</f>
        <v>7</v>
      </c>
      <c r="G140" s="21" t="n">
        <f aca="false">E140/F140</f>
        <v>136.571428571429</v>
      </c>
    </row>
    <row r="141" customFormat="false" ht="13.8" hidden="false" customHeight="false" outlineLevel="0" collapsed="false">
      <c r="A141" s="39"/>
      <c r="B141" s="40" t="n">
        <v>51</v>
      </c>
      <c r="C141" s="41"/>
    </row>
    <row r="142" customFormat="false" ht="13.8" hidden="false" customHeight="false" outlineLevel="0" collapsed="false">
      <c r="A142" s="39"/>
      <c r="B142" s="40" t="n">
        <v>133</v>
      </c>
      <c r="C142" s="41"/>
    </row>
    <row r="143" customFormat="false" ht="13.8" hidden="false" customHeight="false" outlineLevel="0" collapsed="false">
      <c r="A143" s="39"/>
      <c r="B143" s="40" t="n">
        <v>149</v>
      </c>
      <c r="C143" s="41"/>
    </row>
    <row r="144" customFormat="false" ht="13.8" hidden="false" customHeight="false" outlineLevel="0" collapsed="false">
      <c r="A144" s="39"/>
      <c r="B144" s="40" t="n">
        <v>159</v>
      </c>
      <c r="C144" s="41"/>
    </row>
    <row r="145" customFormat="false" ht="13.8" hidden="false" customHeight="false" outlineLevel="0" collapsed="false">
      <c r="A145" s="39"/>
      <c r="B145" s="40" t="n">
        <v>200</v>
      </c>
      <c r="C145" s="41"/>
    </row>
    <row r="146" customFormat="false" ht="13.8" hidden="false" customHeight="false" outlineLevel="0" collapsed="false">
      <c r="A146" s="42"/>
      <c r="B146" s="43" t="n">
        <v>222</v>
      </c>
      <c r="C146" s="44"/>
    </row>
    <row r="147" customFormat="false" ht="13.8" hidden="false" customHeight="false" outlineLevel="0" collapsed="false">
      <c r="A147" s="36" t="s">
        <v>324</v>
      </c>
      <c r="B147" s="37" t="n">
        <v>117</v>
      </c>
      <c r="C147" s="38"/>
      <c r="D147" s="28" t="str">
        <f aca="false">A147</f>
        <v>"Подуяне"</v>
      </c>
      <c r="E147" s="22" t="n">
        <f aca="false">SUM(B147:B156)</f>
        <v>2385</v>
      </c>
      <c r="F147" s="22" t="n">
        <f aca="false">COUNT(B147:B156)</f>
        <v>10</v>
      </c>
      <c r="G147" s="21" t="n">
        <f aca="false">E147/F147</f>
        <v>238.5</v>
      </c>
    </row>
    <row r="148" customFormat="false" ht="13.8" hidden="false" customHeight="false" outlineLevel="0" collapsed="false">
      <c r="A148" s="39"/>
      <c r="B148" s="40" t="n">
        <v>147</v>
      </c>
      <c r="C148" s="41"/>
    </row>
    <row r="149" customFormat="false" ht="13.8" hidden="false" customHeight="false" outlineLevel="0" collapsed="false">
      <c r="A149" s="39"/>
      <c r="B149" s="40" t="n">
        <v>170</v>
      </c>
      <c r="C149" s="41"/>
    </row>
    <row r="150" customFormat="false" ht="13.8" hidden="false" customHeight="false" outlineLevel="0" collapsed="false">
      <c r="A150" s="39"/>
      <c r="B150" s="40" t="n">
        <v>197</v>
      </c>
      <c r="C150" s="41"/>
    </row>
    <row r="151" customFormat="false" ht="13.8" hidden="false" customHeight="false" outlineLevel="0" collapsed="false">
      <c r="A151" s="39"/>
      <c r="B151" s="40" t="n">
        <v>242</v>
      </c>
      <c r="C151" s="41"/>
    </row>
    <row r="152" customFormat="false" ht="13.8" hidden="false" customHeight="false" outlineLevel="0" collapsed="false">
      <c r="A152" s="39"/>
      <c r="B152" s="40" t="n">
        <v>244</v>
      </c>
      <c r="C152" s="41"/>
    </row>
    <row r="153" customFormat="false" ht="13.8" hidden="false" customHeight="false" outlineLevel="0" collapsed="false">
      <c r="A153" s="39"/>
      <c r="B153" s="40" t="n">
        <v>269</v>
      </c>
      <c r="C153" s="41"/>
    </row>
    <row r="154" customFormat="false" ht="13.8" hidden="false" customHeight="false" outlineLevel="0" collapsed="false">
      <c r="A154" s="39"/>
      <c r="B154" s="40" t="n">
        <v>276</v>
      </c>
      <c r="C154" s="41"/>
    </row>
    <row r="155" customFormat="false" ht="13.8" hidden="false" customHeight="false" outlineLevel="0" collapsed="false">
      <c r="A155" s="39"/>
      <c r="B155" s="40" t="n">
        <v>340</v>
      </c>
      <c r="C155" s="41"/>
    </row>
    <row r="156" customFormat="false" ht="13.8" hidden="false" customHeight="false" outlineLevel="0" collapsed="false">
      <c r="A156" s="42"/>
      <c r="B156" s="43" t="n">
        <v>383</v>
      </c>
      <c r="C156" s="44"/>
    </row>
    <row r="157" customFormat="false" ht="13.8" hidden="false" customHeight="false" outlineLevel="0" collapsed="false">
      <c r="A157" s="36" t="s">
        <v>638</v>
      </c>
      <c r="B157" s="37" t="n">
        <v>109</v>
      </c>
      <c r="C157" s="38"/>
      <c r="D157" s="28" t="str">
        <f aca="false">A157</f>
        <v>"Сердика"</v>
      </c>
      <c r="E157" s="22" t="n">
        <f aca="false">SUM(B157:B164)</f>
        <v>1458</v>
      </c>
      <c r="F157" s="22" t="n">
        <f aca="false">COUNT(B157:B164)</f>
        <v>8</v>
      </c>
      <c r="G157" s="21" t="n">
        <f aca="false">E157/F157</f>
        <v>182.25</v>
      </c>
    </row>
    <row r="158" customFormat="false" ht="13.8" hidden="false" customHeight="false" outlineLevel="0" collapsed="false">
      <c r="A158" s="39"/>
      <c r="B158" s="40" t="n">
        <v>115</v>
      </c>
      <c r="C158" s="41"/>
    </row>
    <row r="159" customFormat="false" ht="13.8" hidden="false" customHeight="false" outlineLevel="0" collapsed="false">
      <c r="A159" s="39"/>
      <c r="B159" s="40" t="n">
        <v>116</v>
      </c>
      <c r="C159" s="41"/>
    </row>
    <row r="160" customFormat="false" ht="13.8" hidden="false" customHeight="false" outlineLevel="0" collapsed="false">
      <c r="A160" s="39"/>
      <c r="B160" s="40" t="n">
        <v>160</v>
      </c>
      <c r="C160" s="41"/>
    </row>
    <row r="161" customFormat="false" ht="13.8" hidden="false" customHeight="false" outlineLevel="0" collapsed="false">
      <c r="A161" s="39"/>
      <c r="B161" s="40" t="n">
        <v>175</v>
      </c>
      <c r="C161" s="41"/>
    </row>
    <row r="162" customFormat="false" ht="13.8" hidden="false" customHeight="false" outlineLevel="0" collapsed="false">
      <c r="A162" s="39"/>
      <c r="B162" s="40" t="n">
        <v>210</v>
      </c>
      <c r="C162" s="41"/>
    </row>
    <row r="163" customFormat="false" ht="13.8" hidden="false" customHeight="false" outlineLevel="0" collapsed="false">
      <c r="A163" s="39"/>
      <c r="B163" s="40" t="n">
        <v>275</v>
      </c>
      <c r="C163" s="41"/>
    </row>
    <row r="164" customFormat="false" ht="13.8" hidden="false" customHeight="false" outlineLevel="0" collapsed="false">
      <c r="A164" s="42"/>
      <c r="B164" s="43" t="n">
        <v>298</v>
      </c>
      <c r="C164" s="44"/>
    </row>
    <row r="165" customFormat="false" ht="13.8" hidden="false" customHeight="false" outlineLevel="0" collapsed="false">
      <c r="A165" s="36" t="s">
        <v>848</v>
      </c>
      <c r="B165" s="37" t="n">
        <v>138</v>
      </c>
      <c r="C165" s="38"/>
      <c r="D165" s="28" t="str">
        <f aca="false">A165</f>
        <v>"Слатина"</v>
      </c>
      <c r="E165" s="22" t="n">
        <f aca="false">SUM(B165:B172)</f>
        <v>2059</v>
      </c>
      <c r="F165" s="22" t="n">
        <f aca="false">COUNT(B165:B172)</f>
        <v>8</v>
      </c>
      <c r="G165" s="21" t="n">
        <f aca="false">E165/F165</f>
        <v>257.375</v>
      </c>
    </row>
    <row r="166" customFormat="false" ht="13.8" hidden="false" customHeight="false" outlineLevel="0" collapsed="false">
      <c r="A166" s="39"/>
      <c r="B166" s="40" t="n">
        <v>152</v>
      </c>
      <c r="C166" s="41"/>
    </row>
    <row r="167" customFormat="false" ht="13.8" hidden="false" customHeight="false" outlineLevel="0" collapsed="false">
      <c r="A167" s="39"/>
      <c r="B167" s="40" t="n">
        <v>156</v>
      </c>
      <c r="C167" s="41"/>
    </row>
    <row r="168" customFormat="false" ht="13.8" hidden="false" customHeight="false" outlineLevel="0" collapsed="false">
      <c r="A168" s="39"/>
      <c r="B168" s="40" t="n">
        <v>247</v>
      </c>
      <c r="C168" s="41"/>
    </row>
    <row r="169" customFormat="false" ht="13.8" hidden="false" customHeight="false" outlineLevel="0" collapsed="false">
      <c r="A169" s="39"/>
      <c r="B169" s="40" t="n">
        <v>294</v>
      </c>
      <c r="C169" s="41"/>
    </row>
    <row r="170" customFormat="false" ht="13.8" hidden="false" customHeight="false" outlineLevel="0" collapsed="false">
      <c r="A170" s="39"/>
      <c r="B170" s="40" t="n">
        <v>308</v>
      </c>
      <c r="C170" s="41"/>
    </row>
    <row r="171" customFormat="false" ht="13.8" hidden="false" customHeight="false" outlineLevel="0" collapsed="false">
      <c r="A171" s="39"/>
      <c r="B171" s="40" t="n">
        <v>367</v>
      </c>
      <c r="C171" s="41"/>
    </row>
    <row r="172" customFormat="false" ht="13.8" hidden="false" customHeight="false" outlineLevel="0" collapsed="false">
      <c r="A172" s="42"/>
      <c r="B172" s="43" t="n">
        <v>397</v>
      </c>
      <c r="C172" s="44"/>
    </row>
    <row r="173" customFormat="false" ht="13.8" hidden="false" customHeight="false" outlineLevel="0" collapsed="false">
      <c r="A173" s="36" t="s">
        <v>298</v>
      </c>
      <c r="B173" s="37" t="n">
        <v>109</v>
      </c>
      <c r="C173" s="38"/>
      <c r="D173" s="28" t="str">
        <f aca="false">A173</f>
        <v>"Средец"</v>
      </c>
      <c r="E173" s="22" t="n">
        <f aca="false">SUM(B173:B176)</f>
        <v>730</v>
      </c>
      <c r="F173" s="22" t="n">
        <f aca="false">COUNT(B173:B176)</f>
        <v>4</v>
      </c>
      <c r="G173" s="21" t="n">
        <f aca="false">E173/F173</f>
        <v>182.5</v>
      </c>
    </row>
    <row r="174" customFormat="false" ht="13.8" hidden="false" customHeight="false" outlineLevel="0" collapsed="false">
      <c r="A174" s="39"/>
      <c r="B174" s="40" t="n">
        <v>110</v>
      </c>
      <c r="C174" s="41"/>
    </row>
    <row r="175" customFormat="false" ht="13.8" hidden="false" customHeight="false" outlineLevel="0" collapsed="false">
      <c r="A175" s="39"/>
      <c r="B175" s="40" t="n">
        <v>206</v>
      </c>
      <c r="C175" s="41"/>
    </row>
    <row r="176" customFormat="false" ht="13.8" hidden="false" customHeight="false" outlineLevel="0" collapsed="false">
      <c r="A176" s="42"/>
      <c r="B176" s="43" t="n">
        <v>305</v>
      </c>
      <c r="C176" s="44"/>
      <c r="E176" s="0"/>
      <c r="F176" s="0"/>
    </row>
    <row r="177" customFormat="false" ht="13.8" hidden="false" customHeight="false" outlineLevel="0" collapsed="false">
      <c r="A177" s="36" t="s">
        <v>189</v>
      </c>
      <c r="B177" s="37" t="n">
        <v>215</v>
      </c>
      <c r="C177" s="38"/>
      <c r="D177" s="28" t="str">
        <f aca="false">A177</f>
        <v>"Студентски"</v>
      </c>
      <c r="E177" s="22" t="n">
        <f aca="false">SUM(B177:B182)</f>
        <v>1718</v>
      </c>
      <c r="F177" s="22" t="n">
        <f aca="false">COUNT(B177:B182)</f>
        <v>6</v>
      </c>
      <c r="G177" s="21" t="n">
        <f aca="false">E177/F177</f>
        <v>286.333333333333</v>
      </c>
    </row>
    <row r="178" customFormat="false" ht="13.8" hidden="false" customHeight="false" outlineLevel="0" collapsed="false">
      <c r="A178" s="39"/>
      <c r="B178" s="40" t="n">
        <v>256</v>
      </c>
      <c r="C178" s="41"/>
    </row>
    <row r="179" customFormat="false" ht="13.8" hidden="false" customHeight="false" outlineLevel="0" collapsed="false">
      <c r="A179" s="39"/>
      <c r="B179" s="40" t="n">
        <v>262</v>
      </c>
      <c r="C179" s="41"/>
    </row>
    <row r="180" customFormat="false" ht="13.8" hidden="false" customHeight="false" outlineLevel="0" collapsed="false">
      <c r="A180" s="39"/>
      <c r="B180" s="40" t="n">
        <v>263</v>
      </c>
      <c r="C180" s="41"/>
    </row>
    <row r="181" customFormat="false" ht="13.8" hidden="false" customHeight="false" outlineLevel="0" collapsed="false">
      <c r="A181" s="39"/>
      <c r="B181" s="40" t="n">
        <v>344</v>
      </c>
      <c r="C181" s="41"/>
    </row>
    <row r="182" customFormat="false" ht="13.8" hidden="false" customHeight="false" outlineLevel="0" collapsed="false">
      <c r="A182" s="42"/>
      <c r="B182" s="43" t="n">
        <v>378</v>
      </c>
      <c r="C182" s="44"/>
    </row>
    <row r="183" customFormat="false" ht="13.8" hidden="false" customHeight="false" outlineLevel="0" collapsed="false">
      <c r="A183" s="36" t="s">
        <v>74</v>
      </c>
      <c r="B183" s="37" t="n">
        <v>134</v>
      </c>
      <c r="C183" s="38"/>
      <c r="D183" s="28" t="str">
        <f aca="false">A183</f>
        <v>"Триадица"</v>
      </c>
      <c r="E183" s="22" t="n">
        <f aca="false">SUM(B183:B188)</f>
        <v>1352</v>
      </c>
      <c r="F183" s="22" t="n">
        <f aca="false">COUNT(B183:B188)</f>
        <v>6</v>
      </c>
      <c r="G183" s="21" t="n">
        <f aca="false">E183/F183</f>
        <v>225.333333333333</v>
      </c>
    </row>
    <row r="184" customFormat="false" ht="13.8" hidden="false" customHeight="false" outlineLevel="0" collapsed="false">
      <c r="A184" s="39"/>
      <c r="B184" s="40" t="n">
        <v>188</v>
      </c>
      <c r="C184" s="41"/>
    </row>
    <row r="185" customFormat="false" ht="13.8" hidden="false" customHeight="false" outlineLevel="0" collapsed="false">
      <c r="A185" s="39"/>
      <c r="B185" s="40" t="n">
        <v>212</v>
      </c>
      <c r="C185" s="41"/>
    </row>
    <row r="186" customFormat="false" ht="13.8" hidden="false" customHeight="false" outlineLevel="0" collapsed="false">
      <c r="A186" s="39"/>
      <c r="B186" s="40" t="n">
        <v>234</v>
      </c>
      <c r="C186" s="41"/>
    </row>
    <row r="187" customFormat="false" ht="13.8" hidden="false" customHeight="false" outlineLevel="0" collapsed="false">
      <c r="A187" s="39"/>
      <c r="B187" s="40" t="n">
        <v>264</v>
      </c>
      <c r="C187" s="41"/>
    </row>
    <row r="188" customFormat="false" ht="13.8" hidden="false" customHeight="false" outlineLevel="0" collapsed="false">
      <c r="A188" s="39"/>
      <c r="B188" s="40" t="n">
        <v>320</v>
      </c>
      <c r="C188" s="41"/>
    </row>
    <row r="189" customFormat="false" ht="13.8" hidden="false" customHeight="false" outlineLevel="0" collapsed="false">
      <c r="A189" s="39"/>
      <c r="B189" s="40" t="n">
        <v>332</v>
      </c>
      <c r="C189" s="41"/>
    </row>
    <row r="190" customFormat="false" ht="13.8" hidden="false" customHeight="false" outlineLevel="0" collapsed="false">
      <c r="A190" s="42"/>
      <c r="B190" s="43" t="n">
        <v>390</v>
      </c>
      <c r="C190" s="44"/>
    </row>
    <row r="191" customFormat="false" ht="13.8" hidden="false" customHeight="false" outlineLevel="0" collapsed="false">
      <c r="A191" s="45" t="s">
        <v>2517</v>
      </c>
      <c r="B191" s="46"/>
      <c r="C191" s="47"/>
      <c r="E191" s="48" t="n">
        <f aca="false">SUM(E1:E190)</f>
        <v>41940</v>
      </c>
      <c r="F191" s="48" t="n">
        <f aca="false">SUM(F1:F190)</f>
        <v>187</v>
      </c>
      <c r="G191" s="21" t="n">
        <f aca="false">E191/F191</f>
        <v>224.27807486631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2019-12-10T12:45:54Z</dcterms:created>
  <dc:creator>Albena Genova</dc:creator>
  <dc:description/>
  <dc:language>en-US</dc:language>
  <cp:lastModifiedBy/>
  <dcterms:modified xsi:type="dcterms:W3CDTF">2025-11-10T10:46:13Z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